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vert" sheetId="1" r:id="rId4"/>
    <sheet state="visible" name="Petrol_price" sheetId="2" r:id="rId5"/>
    <sheet state="visible" name="บันทึกลองลิตร" sheetId="3" r:id="rId6"/>
    <sheet state="visible" name="Dairy_Petrol" sheetId="4" r:id="rId7"/>
  </sheets>
  <definedNames/>
  <calcPr/>
  <extLst>
    <ext uri="GoogleSheetsCustomDataVersion2">
      <go:sheetsCustomData xmlns:go="http://customooxmlschemas.google.com/" r:id="rId8" roundtripDataChecksum="Q0MzkKfR9FiGIQj8QsSOrDPu+dSXF5GFtOj39fCvFWQ="/>
    </ext>
  </extLst>
</workbook>
</file>

<file path=xl/sharedStrings.xml><?xml version="1.0" encoding="utf-8"?>
<sst xmlns="http://schemas.openxmlformats.org/spreadsheetml/2006/main" count="294" uniqueCount="128">
  <si>
    <t>รายงานปิดวัน ‎- ‎ยอดขายน้ำมันตามหน้าจ่าย‎</t>
  </si>
  <si>
    <t>รหัสสาขา :</t>
  </si>
  <si>
    <t>101612</t>
  </si>
  <si>
    <t>เริ่มต้น :</t>
  </si>
  <si>
    <t>22/05/2568</t>
  </si>
  <si>
    <t xml:space="preserve">วันเวลาที่พิมพ์ : </t>
  </si>
  <si>
    <t>24/05/2568 07:04:35</t>
  </si>
  <si>
    <t>ชื่อสาขา :</t>
  </si>
  <si>
    <t>ห้างหุ้นส่วนสามัญนิติบุคคล อิสาณบริการ</t>
  </si>
  <si>
    <t>จนถึง :</t>
  </si>
  <si>
    <t>จัดทำโดย :</t>
  </si>
  <si>
    <t>นิตศรา คำใสสุข</t>
  </si>
  <si>
    <t>ชื่อน้ำมัน</t>
  </si>
  <si>
    <t>หน้าจ่าย</t>
  </si>
  <si>
    <t>มือจ่าย</t>
  </si>
  <si>
    <t>มิเตอร์เปิด</t>
  </si>
  <si>
    <t>มิเตอร์ปิด</t>
  </si>
  <si>
    <t>-ทดสอบ</t>
  </si>
  <si>
    <t>=ขาย(ลิตร)</t>
  </si>
  <si>
    <t>=ขาย(บาท)</t>
  </si>
  <si>
    <t>GASOHOL 95</t>
  </si>
  <si>
    <t>6A</t>
  </si>
  <si>
    <t>GASOHOL 91</t>
  </si>
  <si>
    <t>8A</t>
  </si>
  <si>
    <t>DIESEL</t>
  </si>
  <si>
    <t>2A</t>
  </si>
  <si>
    <t>รวมหน้าจ่าย 1</t>
  </si>
  <si>
    <t>6B</t>
  </si>
  <si>
    <t>8B</t>
  </si>
  <si>
    <t>2B</t>
  </si>
  <si>
    <t>รวมหน้าจ่าย 2</t>
  </si>
  <si>
    <t>6C</t>
  </si>
  <si>
    <t>Premium DIESEL</t>
  </si>
  <si>
    <t>3A</t>
  </si>
  <si>
    <t>1A</t>
  </si>
  <si>
    <t>รวมหน้าจ่าย 3</t>
  </si>
  <si>
    <t>6D</t>
  </si>
  <si>
    <t>3B</t>
  </si>
  <si>
    <t>1B</t>
  </si>
  <si>
    <t>รวมหน้าจ่าย 4</t>
  </si>
  <si>
    <t>GASOHOL E20</t>
  </si>
  <si>
    <t>5A</t>
  </si>
  <si>
    <t>4A</t>
  </si>
  <si>
    <t>2C</t>
  </si>
  <si>
    <t>รวมหน้าจ่าย 5</t>
  </si>
  <si>
    <t>5B</t>
  </si>
  <si>
    <t>4B</t>
  </si>
  <si>
    <t>2D</t>
  </si>
  <si>
    <t>รวมหน้าจ่าย 6</t>
  </si>
  <si>
    <t>5C</t>
  </si>
  <si>
    <t>3C</t>
  </si>
  <si>
    <t>1C</t>
  </si>
  <si>
    <t>รวมหน้าจ่าย 7</t>
  </si>
  <si>
    <t>5D</t>
  </si>
  <si>
    <t>3D</t>
  </si>
  <si>
    <t>1D</t>
  </si>
  <si>
    <t>รวมหน้าจ่าย 8</t>
  </si>
  <si>
    <t>10A</t>
  </si>
  <si>
    <t>8C</t>
  </si>
  <si>
    <t>2E</t>
  </si>
  <si>
    <t>รวมหน้าจ่าย 9</t>
  </si>
  <si>
    <t>10B</t>
  </si>
  <si>
    <t>8D</t>
  </si>
  <si>
    <t>2F</t>
  </si>
  <si>
    <t>รวมหน้าจ่าย 10</t>
  </si>
  <si>
    <t>GASOHOL E85</t>
  </si>
  <si>
    <t>7A</t>
  </si>
  <si>
    <t>6E</t>
  </si>
  <si>
    <t>1E</t>
  </si>
  <si>
    <t>รวมหน้าจ่าย 11</t>
  </si>
  <si>
    <t>7B</t>
  </si>
  <si>
    <t>6F</t>
  </si>
  <si>
    <t>1F</t>
  </si>
  <si>
    <t>รวมหน้าจ่าย 12</t>
  </si>
  <si>
    <t>10C</t>
  </si>
  <si>
    <t>2G</t>
  </si>
  <si>
    <t>รวมหน้าจ่าย 13</t>
  </si>
  <si>
    <t>10D</t>
  </si>
  <si>
    <t>2H</t>
  </si>
  <si>
    <t>รวมหน้าจ่าย 14</t>
  </si>
  <si>
    <t>7C</t>
  </si>
  <si>
    <t>Premium GASOHOL 95</t>
  </si>
  <si>
    <t>9A</t>
  </si>
  <si>
    <t>รวมหน้าจ่าย 15</t>
  </si>
  <si>
    <t>7D</t>
  </si>
  <si>
    <t>9B</t>
  </si>
  <si>
    <t>รวมหน้าจ่าย 16</t>
  </si>
  <si>
    <t>รวมทั้งสิ้น</t>
  </si>
  <si>
    <t>ชนิดน้ำมัน</t>
  </si>
  <si>
    <t>หลุม</t>
  </si>
  <si>
    <t>ราคาขายเฉลี่ย</t>
  </si>
  <si>
    <t>บันทึกราคาปลีกหน้าลาน</t>
  </si>
  <si>
    <t>Diff</t>
  </si>
  <si>
    <t xml:space="preserve">Premium Diesel </t>
  </si>
  <si>
    <t>Premium Gasohal 95</t>
  </si>
  <si>
    <t>Diesel</t>
  </si>
  <si>
    <t>1,2</t>
  </si>
  <si>
    <t>E85</t>
  </si>
  <si>
    <t xml:space="preserve">E20 </t>
  </si>
  <si>
    <t>5,10</t>
  </si>
  <si>
    <t xml:space="preserve">Gasohal 91 </t>
  </si>
  <si>
    <t>4,8</t>
  </si>
  <si>
    <t>Gasohal 95</t>
  </si>
  <si>
    <t>หัวจ่าย</t>
  </si>
  <si>
    <t>บันทึกลองลิตรเพิ่ม</t>
  </si>
  <si>
    <t>วันที่</t>
  </si>
  <si>
    <t>รายวันขาย</t>
  </si>
  <si>
    <t>มิเตอร์ยกมา</t>
  </si>
  <si>
    <t>มิเตอร์วันนี้</t>
  </si>
  <si>
    <t>ลองลิตร</t>
  </si>
  <si>
    <t>ลองลิตรเพิ่ม</t>
  </si>
  <si>
    <t>ขาย</t>
  </si>
  <si>
    <t>มูลค่าขายใบกะ</t>
  </si>
  <si>
    <t>มูลค่าขายหน้าลาน</t>
  </si>
  <si>
    <t>ราคา/ลิตร(เฉลี่ยขาย)</t>
  </si>
  <si>
    <t>น้ำมัน</t>
  </si>
  <si>
    <t>ราคาป้าย</t>
  </si>
  <si>
    <t>จำนวนเงิน</t>
  </si>
  <si>
    <t>หมายเหตุ</t>
  </si>
  <si>
    <t>HSD</t>
  </si>
  <si>
    <t>"</t>
  </si>
  <si>
    <t>HSP</t>
  </si>
  <si>
    <t>G91</t>
  </si>
  <si>
    <t>E20</t>
  </si>
  <si>
    <t>G95</t>
  </si>
  <si>
    <t>G95P</t>
  </si>
  <si>
    <t>ใบกะ</t>
  </si>
  <si>
    <t>ส่วนต่าง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</si>
</sst>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01041e]#,##0.000"/>
    <numFmt numFmtId="165" formatCode="[$-01041e]#,##0.00"/>
    <numFmt numFmtId="166" formatCode="[$-01041e]#,##0.0"/>
  </numFmts>
  <fonts count="18">
    <font>
      <sz val="10.0"/>
      <color rgb="FF000000"/>
      <name val="Arial"/>
      <scheme val="minor"/>
    </font>
    <font>
      <b/>
      <color theme="1"/>
      <name val="Tahoma"/>
    </font>
    <font>
      <color theme="1"/>
      <name val="Arial"/>
    </font>
    <font>
      <sz val="8.0"/>
      <color theme="1"/>
      <name val="Tahoma"/>
    </font>
    <font>
      <b/>
      <sz val="8.0"/>
      <color theme="1"/>
      <name val="Tahoma"/>
    </font>
    <font/>
    <font>
      <b/>
      <sz val="11.0"/>
      <color theme="1"/>
      <name val="AngsanaUPC"/>
    </font>
    <font>
      <b/>
      <sz val="10.0"/>
      <color theme="1"/>
      <name val="Arial"/>
    </font>
    <font>
      <b/>
      <color theme="1"/>
      <name val="Arial"/>
    </font>
    <font>
      <color rgb="FF000000"/>
      <name val="Arial"/>
    </font>
    <font>
      <sz val="11.0"/>
      <color theme="1"/>
      <name val="Tahoma"/>
    </font>
    <font>
      <sz val="11.0"/>
      <color theme="1"/>
      <name val="Arial"/>
    </font>
    <font>
      <b/>
      <sz val="11.0"/>
      <color theme="1"/>
      <name val="Arial"/>
    </font>
    <font>
      <b/>
      <sz val="11.0"/>
      <color theme="1"/>
      <name val="Tahoma"/>
    </font>
    <font>
      <sz val="11.0"/>
      <color rgb="FF434343"/>
      <name val="Arial"/>
    </font>
    <font>
      <b/>
      <sz val="14.0"/>
      <color theme="1"/>
      <name val="Arial"/>
    </font>
    <font>
      <b/>
      <sz val="8.0"/>
      <color theme="1"/>
      <name val="Arial"/>
    </font>
    <font>
      <color theme="1"/>
      <name val="Angsana New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6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0" fontId="3" numFmtId="165" xfId="0" applyAlignment="1" applyFont="1" applyNumberFormat="1">
      <alignment shrinkToFit="0" vertical="bottom" wrapText="1"/>
    </xf>
    <xf borderId="0" fillId="0" fontId="4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4" numFmtId="164" xfId="0" applyAlignment="1" applyFont="1" applyNumberFormat="1">
      <alignment shrinkToFit="0" vertical="top" wrapText="1"/>
    </xf>
    <xf borderId="0" fillId="0" fontId="3" numFmtId="164" xfId="0" applyAlignment="1" applyFont="1" applyNumberFormat="1">
      <alignment shrinkToFit="0" vertical="top" wrapText="1"/>
    </xf>
    <xf borderId="1" fillId="0" fontId="4" numFmtId="0" xfId="0" applyAlignment="1" applyBorder="1" applyFont="1">
      <alignment horizontal="center" shrinkToFit="0" vertical="top" wrapText="1"/>
    </xf>
    <xf borderId="1" fillId="0" fontId="5" numFmtId="0" xfId="0" applyBorder="1" applyFont="1"/>
    <xf borderId="1" fillId="0" fontId="4" numFmtId="0" xfId="0" applyAlignment="1" applyBorder="1" applyFont="1">
      <alignment horizontal="center" shrinkToFit="0" wrapText="1"/>
    </xf>
    <xf borderId="1" fillId="0" fontId="4" numFmtId="164" xfId="0" applyAlignment="1" applyBorder="1" applyFont="1" applyNumberFormat="1">
      <alignment horizontal="right" shrinkToFit="0" wrapText="1"/>
    </xf>
    <xf borderId="1" fillId="0" fontId="4" numFmtId="165" xfId="0" applyAlignment="1" applyBorder="1" applyFont="1" applyNumberFormat="1">
      <alignment horizontal="right"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 shrinkToFit="0" wrapText="1"/>
    </xf>
    <xf borderId="0" fillId="0" fontId="3" numFmtId="164" xfId="0" applyAlignment="1" applyFont="1" applyNumberFormat="1">
      <alignment horizontal="right" shrinkToFit="0" wrapText="1"/>
    </xf>
    <xf borderId="0" fillId="0" fontId="3" numFmtId="165" xfId="0" applyAlignment="1" applyFont="1" applyNumberFormat="1">
      <alignment horizontal="right" shrinkToFit="0" wrapText="1"/>
    </xf>
    <xf borderId="1" fillId="0" fontId="4" numFmtId="0" xfId="0" applyAlignment="1" applyBorder="1" applyFont="1">
      <alignment shrinkToFit="0" vertical="top" wrapText="1"/>
    </xf>
    <xf borderId="1" fillId="0" fontId="4" numFmtId="164" xfId="0" applyAlignment="1" applyBorder="1" applyFont="1" applyNumberFormat="1">
      <alignment horizontal="right" shrinkToFit="0" vertical="top" wrapText="1"/>
    </xf>
    <xf borderId="1" fillId="0" fontId="4" numFmtId="165" xfId="0" applyAlignment="1" applyBorder="1" applyFont="1" applyNumberFormat="1">
      <alignment horizontal="right" shrinkToFit="0" vertical="top" wrapText="1"/>
    </xf>
    <xf borderId="1" fillId="0" fontId="6" numFmtId="0" xfId="0" applyAlignment="1" applyBorder="1" applyFont="1">
      <alignment shrinkToFit="0" vertical="top" wrapText="1"/>
    </xf>
    <xf borderId="1" fillId="0" fontId="2" numFmtId="0" xfId="0" applyAlignment="1" applyBorder="1" applyFont="1">
      <alignment vertical="top"/>
    </xf>
    <xf borderId="0" fillId="0" fontId="7" numFmtId="0" xfId="0" applyFont="1"/>
    <xf borderId="2" fillId="2" fontId="7" numFmtId="0" xfId="0" applyBorder="1" applyFill="1" applyFont="1"/>
    <xf borderId="0" fillId="0" fontId="8" numFmtId="0" xfId="0" applyAlignment="1" applyFont="1">
      <alignment horizontal="right"/>
    </xf>
    <xf borderId="0" fillId="3" fontId="2" numFmtId="0" xfId="0" applyAlignment="1" applyFill="1" applyFont="1">
      <alignment vertical="bottom"/>
    </xf>
    <xf borderId="0" fillId="0" fontId="2" numFmtId="165" xfId="0" applyFont="1" applyNumberFormat="1"/>
    <xf borderId="2" fillId="0" fontId="2" numFmtId="165" xfId="0" applyAlignment="1" applyBorder="1" applyFont="1" applyNumberFormat="1">
      <alignment readingOrder="0"/>
    </xf>
    <xf borderId="0" fillId="0" fontId="2" numFmtId="0" xfId="0" applyAlignment="1" applyFont="1">
      <alignment horizontal="right" vertical="bottom"/>
    </xf>
    <xf borderId="0" fillId="3" fontId="9" numFmtId="0" xfId="0" applyAlignment="1" applyFont="1">
      <alignment horizontal="left"/>
    </xf>
    <xf borderId="0" fillId="0" fontId="2" numFmtId="0" xfId="0" applyFont="1"/>
    <xf borderId="0" fillId="0" fontId="10" numFmtId="0" xfId="0" applyAlignment="1" applyFont="1">
      <alignment horizontal="right" shrinkToFit="0" vertical="top" wrapText="1"/>
    </xf>
    <xf borderId="2" fillId="0" fontId="11" numFmtId="0" xfId="0" applyAlignment="1" applyBorder="1" applyFont="1">
      <alignment vertical="bottom"/>
    </xf>
    <xf borderId="2" fillId="2" fontId="11" numFmtId="0" xfId="0" applyAlignment="1" applyBorder="1" applyFont="1">
      <alignment vertical="bottom"/>
    </xf>
    <xf borderId="3" fillId="0" fontId="11" numFmtId="0" xfId="0" applyAlignment="1" applyBorder="1" applyFont="1">
      <alignment vertical="bottom"/>
    </xf>
    <xf borderId="2" fillId="0" fontId="11" numFmtId="164" xfId="0" applyAlignment="1" applyBorder="1" applyFont="1" applyNumberFormat="1">
      <alignment horizontal="right" readingOrder="0" vertical="bottom"/>
    </xf>
    <xf borderId="4" fillId="0" fontId="11" numFmtId="0" xfId="0" applyAlignment="1" applyBorder="1" applyFont="1">
      <alignment vertical="bottom"/>
    </xf>
    <xf borderId="2" fillId="0" fontId="11" numFmtId="164" xfId="0" applyAlignment="1" applyBorder="1" applyFont="1" applyNumberFormat="1">
      <alignment horizontal="right" vertical="bottom"/>
    </xf>
    <xf borderId="5" fillId="0" fontId="11" numFmtId="0" xfId="0" applyAlignment="1" applyBorder="1" applyFont="1">
      <alignment vertical="bottom"/>
    </xf>
    <xf borderId="0" fillId="0" fontId="11" numFmtId="0" xfId="0" applyFont="1"/>
    <xf borderId="0" fillId="0" fontId="12" numFmtId="0" xfId="0" applyFont="1"/>
    <xf borderId="0" fillId="0" fontId="2" numFmtId="166" xfId="0" applyFont="1" applyNumberFormat="1"/>
    <xf borderId="0" fillId="0" fontId="13" numFmtId="0" xfId="0" applyAlignment="1" applyFont="1">
      <alignment horizontal="center" shrinkToFit="0" vertical="center" wrapText="1"/>
    </xf>
    <xf borderId="0" fillId="3" fontId="14" numFmtId="164" xfId="0" applyAlignment="1" applyFont="1" applyNumberFormat="1">
      <alignment vertical="center"/>
    </xf>
    <xf borderId="0" fillId="0" fontId="15" numFmtId="0" xfId="0" applyAlignment="1" applyFont="1">
      <alignment horizontal="center" vertical="bottom"/>
    </xf>
    <xf borderId="2" fillId="0" fontId="12" numFmtId="0" xfId="0" applyAlignment="1" applyBorder="1" applyFont="1">
      <alignment horizontal="center" vertical="center"/>
    </xf>
    <xf borderId="2" fillId="0" fontId="12" numFmtId="166" xfId="0" applyAlignment="1" applyBorder="1" applyFont="1" applyNumberFormat="1">
      <alignment horizontal="center" vertical="center"/>
    </xf>
    <xf borderId="2" fillId="0" fontId="16" numFmtId="0" xfId="0" applyAlignment="1" applyBorder="1" applyFont="1">
      <alignment horizontal="center" vertical="center"/>
    </xf>
    <xf borderId="2" fillId="2" fontId="12" numFmtId="0" xfId="0" applyAlignment="1" applyBorder="1" applyFont="1">
      <alignment horizontal="center" vertical="center"/>
    </xf>
    <xf borderId="2" fillId="3" fontId="12" numFmtId="0" xfId="0" applyAlignment="1" applyBorder="1" applyFont="1">
      <alignment horizontal="center" vertical="center"/>
    </xf>
    <xf borderId="6" fillId="0" fontId="12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2" fillId="0" fontId="11" numFmtId="0" xfId="0" applyAlignment="1" applyBorder="1" applyFont="1">
      <alignment horizontal="center" vertical="bottom"/>
    </xf>
    <xf borderId="2" fillId="0" fontId="11" numFmtId="165" xfId="0" applyAlignment="1" applyBorder="1" applyFont="1" applyNumberFormat="1">
      <alignment horizontal="right" vertical="bottom"/>
    </xf>
    <xf borderId="2" fillId="2" fontId="11" numFmtId="165" xfId="0" applyAlignment="1" applyBorder="1" applyFont="1" applyNumberFormat="1">
      <alignment horizontal="right" vertical="bottom"/>
    </xf>
    <xf borderId="2" fillId="0" fontId="12" numFmtId="165" xfId="0" applyAlignment="1" applyBorder="1" applyFont="1" applyNumberFormat="1">
      <alignment horizontal="center" vertical="bottom"/>
    </xf>
    <xf borderId="7" fillId="3" fontId="11" numFmtId="165" xfId="0" applyAlignment="1" applyBorder="1" applyFont="1" applyNumberFormat="1">
      <alignment horizontal="right" vertical="bottom"/>
    </xf>
    <xf borderId="6" fillId="0" fontId="11" numFmtId="0" xfId="0" applyAlignment="1" applyBorder="1" applyFont="1">
      <alignment vertical="bottom"/>
    </xf>
    <xf borderId="2" fillId="0" fontId="11" numFmtId="165" xfId="0" applyAlignment="1" applyBorder="1" applyFont="1" applyNumberFormat="1">
      <alignment horizontal="center" vertical="bottom"/>
    </xf>
    <xf borderId="8" fillId="0" fontId="11" numFmtId="0" xfId="0" applyAlignment="1" applyBorder="1" applyFont="1">
      <alignment vertical="bottom"/>
    </xf>
    <xf borderId="9" fillId="0" fontId="11" numFmtId="0" xfId="0" applyAlignment="1" applyBorder="1" applyFont="1">
      <alignment horizontal="center" vertical="bottom"/>
    </xf>
    <xf borderId="9" fillId="0" fontId="11" numFmtId="165" xfId="0" applyAlignment="1" applyBorder="1" applyFont="1" applyNumberFormat="1">
      <alignment horizontal="right" vertical="bottom"/>
    </xf>
    <xf borderId="9" fillId="0" fontId="11" numFmtId="164" xfId="0" applyAlignment="1" applyBorder="1" applyFont="1" applyNumberFormat="1">
      <alignment horizontal="right" vertical="bottom"/>
    </xf>
    <xf borderId="9" fillId="2" fontId="11" numFmtId="165" xfId="0" applyAlignment="1" applyBorder="1" applyFont="1" applyNumberFormat="1">
      <alignment horizontal="right" vertical="bottom"/>
    </xf>
    <xf borderId="9" fillId="0" fontId="11" numFmtId="165" xfId="0" applyAlignment="1" applyBorder="1" applyFont="1" applyNumberFormat="1">
      <alignment horizontal="center" vertical="bottom"/>
    </xf>
    <xf borderId="9" fillId="3" fontId="11" numFmtId="165" xfId="0" applyAlignment="1" applyBorder="1" applyFont="1" applyNumberFormat="1">
      <alignment horizontal="right" vertical="bottom"/>
    </xf>
    <xf borderId="10" fillId="0" fontId="12" numFmtId="166" xfId="0" applyAlignment="1" applyBorder="1" applyFont="1" applyNumberFormat="1">
      <alignment horizontal="right" vertical="bottom"/>
    </xf>
    <xf borderId="11" fillId="0" fontId="11" numFmtId="0" xfId="0" applyAlignment="1" applyBorder="1" applyFont="1">
      <alignment horizontal="center" vertical="bottom"/>
    </xf>
    <xf borderId="11" fillId="0" fontId="11" numFmtId="165" xfId="0" applyAlignment="1" applyBorder="1" applyFont="1" applyNumberFormat="1">
      <alignment horizontal="right" vertical="bottom"/>
    </xf>
    <xf borderId="11" fillId="0" fontId="11" numFmtId="164" xfId="0" applyAlignment="1" applyBorder="1" applyFont="1" applyNumberFormat="1">
      <alignment horizontal="right" vertical="bottom"/>
    </xf>
    <xf borderId="11" fillId="2" fontId="11" numFmtId="165" xfId="0" applyAlignment="1" applyBorder="1" applyFont="1" applyNumberFormat="1">
      <alignment horizontal="right" vertical="bottom"/>
    </xf>
    <xf borderId="11" fillId="0" fontId="12" numFmtId="165" xfId="0" applyAlignment="1" applyBorder="1" applyFont="1" applyNumberFormat="1">
      <alignment horizontal="center" vertical="bottom"/>
    </xf>
    <xf borderId="11" fillId="3" fontId="11" numFmtId="165" xfId="0" applyAlignment="1" applyBorder="1" applyFont="1" applyNumberFormat="1">
      <alignment horizontal="right" vertical="bottom"/>
    </xf>
    <xf borderId="0" fillId="0" fontId="17" numFmtId="0" xfId="0" applyFont="1"/>
    <xf borderId="8" fillId="0" fontId="12" numFmtId="166" xfId="0" applyAlignment="1" applyBorder="1" applyFont="1" applyNumberFormat="1">
      <alignment horizontal="right" vertical="bottom"/>
    </xf>
    <xf borderId="5" fillId="3" fontId="11" numFmtId="165" xfId="0" applyAlignment="1" applyBorder="1" applyFont="1" applyNumberFormat="1">
      <alignment horizontal="right" vertical="bottom"/>
    </xf>
    <xf borderId="12" fillId="0" fontId="11" numFmtId="0" xfId="0" applyAlignment="1" applyBorder="1" applyFont="1">
      <alignment vertical="bottom"/>
    </xf>
    <xf borderId="13" fillId="3" fontId="11" numFmtId="165" xfId="0" applyAlignment="1" applyBorder="1" applyFont="1" applyNumberFormat="1">
      <alignment horizontal="right" vertical="bottom"/>
    </xf>
    <xf borderId="9" fillId="2" fontId="11" numFmtId="0" xfId="0" applyBorder="1" applyFont="1"/>
    <xf borderId="9" fillId="0" fontId="11" numFmtId="0" xfId="0" applyBorder="1" applyFont="1"/>
    <xf borderId="0" fillId="0" fontId="11" numFmtId="0" xfId="0" applyAlignment="1" applyFont="1">
      <alignment horizontal="center"/>
    </xf>
    <xf borderId="5" fillId="0" fontId="12" numFmtId="0" xfId="0" applyAlignment="1" applyBorder="1" applyFont="1">
      <alignment horizontal="center" readingOrder="0"/>
    </xf>
    <xf borderId="14" fillId="0" fontId="5" numFmtId="0" xfId="0" applyBorder="1" applyFont="1"/>
    <xf borderId="11" fillId="0" fontId="12" numFmtId="165" xfId="0" applyBorder="1" applyFont="1" applyNumberFormat="1"/>
    <xf borderId="7" fillId="0" fontId="12" numFmtId="0" xfId="0" applyAlignment="1" applyBorder="1" applyFont="1">
      <alignment horizontal="center"/>
    </xf>
    <xf borderId="15" fillId="0" fontId="5" numFmtId="0" xfId="0" applyBorder="1" applyFont="1"/>
    <xf borderId="2" fillId="0" fontId="11" numFmtId="165" xfId="0" applyBorder="1" applyFont="1" applyNumberFormat="1"/>
    <xf borderId="0" fillId="0" fontId="2" numFmtId="0" xfId="0" applyAlignment="1" applyFont="1">
      <alignment horizontal="center"/>
    </xf>
    <xf borderId="0" fillId="0" fontId="2" numFmtId="166" xfId="0" applyAlignment="1" applyFont="1" applyNumberFormat="1">
      <alignment horizontal="center"/>
    </xf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sheetData>
    <row r="1">
      <c r="A1" s="1" t="s">
        <v>0</v>
      </c>
      <c r="O1" s="2"/>
    </row>
    <row r="2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4"/>
      <c r="O2" s="5"/>
    </row>
    <row r="3">
      <c r="A3" s="6" t="s">
        <v>1</v>
      </c>
      <c r="B3" s="7" t="s">
        <v>2</v>
      </c>
      <c r="F3" s="3"/>
      <c r="G3" s="8" t="s">
        <v>3</v>
      </c>
      <c r="I3" s="9" t="s">
        <v>4</v>
      </c>
      <c r="K3" s="3"/>
      <c r="L3" s="8" t="s">
        <v>5</v>
      </c>
      <c r="M3" s="9" t="s">
        <v>6</v>
      </c>
      <c r="O3" s="5"/>
    </row>
    <row r="4">
      <c r="A4" s="2"/>
      <c r="B4" s="2"/>
      <c r="C4" s="2"/>
      <c r="D4" s="2"/>
      <c r="E4" s="3"/>
      <c r="F4" s="3"/>
      <c r="G4" s="3"/>
      <c r="H4" s="3"/>
      <c r="I4" s="3"/>
      <c r="J4" s="3"/>
      <c r="K4" s="3"/>
      <c r="L4" s="3"/>
      <c r="M4" s="3"/>
      <c r="N4" s="4"/>
      <c r="O4" s="5"/>
    </row>
    <row r="5">
      <c r="A5" s="6" t="s">
        <v>7</v>
      </c>
      <c r="B5" s="7" t="s">
        <v>8</v>
      </c>
      <c r="F5" s="2"/>
      <c r="G5" s="6" t="s">
        <v>9</v>
      </c>
      <c r="I5" s="7" t="s">
        <v>4</v>
      </c>
      <c r="K5" s="3"/>
      <c r="L5" s="8" t="s">
        <v>10</v>
      </c>
      <c r="M5" s="9" t="s">
        <v>11</v>
      </c>
      <c r="O5" s="4"/>
    </row>
    <row r="6">
      <c r="A6" s="2"/>
      <c r="B6" s="2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4"/>
      <c r="O6" s="4"/>
    </row>
    <row r="7">
      <c r="A7" s="10" t="s">
        <v>12</v>
      </c>
      <c r="B7" s="11"/>
      <c r="C7" s="12" t="s">
        <v>13</v>
      </c>
      <c r="D7" s="12" t="s">
        <v>14</v>
      </c>
      <c r="E7" s="13" t="s">
        <v>15</v>
      </c>
      <c r="F7" s="11"/>
      <c r="G7" s="11"/>
      <c r="H7" s="13" t="s">
        <v>16</v>
      </c>
      <c r="I7" s="11"/>
      <c r="J7" s="13" t="s">
        <v>17</v>
      </c>
      <c r="K7" s="11"/>
      <c r="L7" s="13" t="s">
        <v>18</v>
      </c>
      <c r="M7" s="11"/>
      <c r="N7" s="14" t="s">
        <v>19</v>
      </c>
      <c r="O7" s="5"/>
    </row>
    <row r="8">
      <c r="A8" s="15" t="s">
        <v>20</v>
      </c>
      <c r="C8" s="16">
        <v>1.0</v>
      </c>
      <c r="D8" s="16">
        <v>1.0</v>
      </c>
      <c r="E8" s="17">
        <v>898043.92</v>
      </c>
      <c r="H8" s="17">
        <v>898411.96</v>
      </c>
      <c r="J8" s="17">
        <v>0.0</v>
      </c>
      <c r="L8" s="17">
        <v>368.04</v>
      </c>
      <c r="N8" s="18">
        <v>12240.0</v>
      </c>
      <c r="O8" s="5" t="s">
        <v>21</v>
      </c>
    </row>
    <row r="9">
      <c r="A9" s="15" t="s">
        <v>22</v>
      </c>
      <c r="C9" s="16">
        <v>1.0</v>
      </c>
      <c r="D9" s="16">
        <v>2.0</v>
      </c>
      <c r="E9" s="17">
        <v>120488.52</v>
      </c>
      <c r="H9" s="17">
        <v>121097.56</v>
      </c>
      <c r="J9" s="17">
        <v>0.0</v>
      </c>
      <c r="L9" s="17">
        <v>609.04</v>
      </c>
      <c r="N9" s="18">
        <v>19994.3</v>
      </c>
      <c r="O9" s="5" t="s">
        <v>23</v>
      </c>
    </row>
    <row r="10">
      <c r="A10" s="15" t="s">
        <v>24</v>
      </c>
      <c r="C10" s="16">
        <v>1.0</v>
      </c>
      <c r="D10" s="16">
        <v>3.0</v>
      </c>
      <c r="E10" s="17">
        <v>442986.21</v>
      </c>
      <c r="H10" s="17">
        <v>443657.8</v>
      </c>
      <c r="J10" s="17">
        <v>0.0</v>
      </c>
      <c r="L10" s="17">
        <v>671.59</v>
      </c>
      <c r="N10" s="18">
        <v>21820.0</v>
      </c>
      <c r="O10" s="5" t="s">
        <v>25</v>
      </c>
    </row>
    <row r="11">
      <c r="A11" s="19" t="s">
        <v>26</v>
      </c>
      <c r="B11" s="11"/>
      <c r="C11" s="11"/>
      <c r="D11" s="11"/>
      <c r="E11" s="11"/>
      <c r="F11" s="11"/>
      <c r="G11" s="11"/>
      <c r="H11" s="11"/>
      <c r="I11" s="11"/>
      <c r="J11" s="20">
        <v>0.0</v>
      </c>
      <c r="K11" s="11"/>
      <c r="L11" s="20">
        <v>1648.67</v>
      </c>
      <c r="M11" s="11"/>
      <c r="N11" s="21">
        <v>54054.3</v>
      </c>
      <c r="O11" s="4"/>
    </row>
    <row r="12">
      <c r="A12" s="15" t="s">
        <v>20</v>
      </c>
      <c r="C12" s="16">
        <v>2.0</v>
      </c>
      <c r="D12" s="16">
        <v>4.0</v>
      </c>
      <c r="E12" s="17">
        <v>349559.42</v>
      </c>
      <c r="H12" s="17">
        <v>349729.16</v>
      </c>
      <c r="J12" s="17">
        <v>0.0</v>
      </c>
      <c r="L12" s="17">
        <v>169.74</v>
      </c>
      <c r="N12" s="18">
        <v>5650.0</v>
      </c>
      <c r="O12" s="5" t="s">
        <v>27</v>
      </c>
    </row>
    <row r="13">
      <c r="A13" s="15" t="s">
        <v>22</v>
      </c>
      <c r="C13" s="16">
        <v>2.0</v>
      </c>
      <c r="D13" s="16">
        <v>5.0</v>
      </c>
      <c r="E13" s="17">
        <v>532555.7</v>
      </c>
      <c r="H13" s="17">
        <v>532854.63</v>
      </c>
      <c r="J13" s="17">
        <v>0.0</v>
      </c>
      <c r="L13" s="17">
        <v>298.93</v>
      </c>
      <c r="N13" s="18">
        <v>9820.0</v>
      </c>
      <c r="O13" s="4" t="s">
        <v>28</v>
      </c>
    </row>
    <row r="14">
      <c r="A14" s="15" t="s">
        <v>24</v>
      </c>
      <c r="C14" s="16">
        <v>2.0</v>
      </c>
      <c r="D14" s="16">
        <v>6.0</v>
      </c>
      <c r="E14" s="17">
        <v>529240.02</v>
      </c>
      <c r="H14" s="17">
        <v>529329.28</v>
      </c>
      <c r="J14" s="17">
        <v>0.0</v>
      </c>
      <c r="L14" s="17">
        <v>89.26</v>
      </c>
      <c r="N14" s="18">
        <v>2900.0</v>
      </c>
      <c r="O14" s="4" t="s">
        <v>29</v>
      </c>
    </row>
    <row r="15">
      <c r="A15" s="19" t="s">
        <v>30</v>
      </c>
      <c r="B15" s="11"/>
      <c r="C15" s="11"/>
      <c r="D15" s="11"/>
      <c r="E15" s="11"/>
      <c r="F15" s="11"/>
      <c r="G15" s="11"/>
      <c r="H15" s="11"/>
      <c r="I15" s="11"/>
      <c r="J15" s="20">
        <v>0.0</v>
      </c>
      <c r="K15" s="11"/>
      <c r="L15" s="20">
        <v>557.93</v>
      </c>
      <c r="M15" s="11"/>
      <c r="N15" s="21">
        <v>18370.0</v>
      </c>
      <c r="O15" s="4"/>
    </row>
    <row r="16">
      <c r="A16" s="15" t="s">
        <v>20</v>
      </c>
      <c r="C16" s="16">
        <v>3.0</v>
      </c>
      <c r="D16" s="16">
        <v>7.0</v>
      </c>
      <c r="E16" s="17">
        <v>147285.75</v>
      </c>
      <c r="H16" s="17">
        <v>147810.19</v>
      </c>
      <c r="J16" s="17">
        <v>0.0</v>
      </c>
      <c r="L16" s="17">
        <v>524.44</v>
      </c>
      <c r="N16" s="18">
        <v>17440.0</v>
      </c>
      <c r="O16" s="4" t="s">
        <v>31</v>
      </c>
    </row>
    <row r="17">
      <c r="A17" s="15" t="s">
        <v>32</v>
      </c>
      <c r="C17" s="16">
        <v>3.0</v>
      </c>
      <c r="D17" s="16">
        <v>8.0</v>
      </c>
      <c r="E17" s="17">
        <v>432029.16</v>
      </c>
      <c r="H17" s="17">
        <v>432056.14</v>
      </c>
      <c r="J17" s="17">
        <v>0.0</v>
      </c>
      <c r="L17" s="17">
        <v>26.98</v>
      </c>
      <c r="N17" s="18">
        <v>1200.0</v>
      </c>
      <c r="O17" s="4" t="s">
        <v>33</v>
      </c>
    </row>
    <row r="18">
      <c r="A18" s="15" t="s">
        <v>24</v>
      </c>
      <c r="C18" s="16">
        <v>3.0</v>
      </c>
      <c r="D18" s="16">
        <v>9.0</v>
      </c>
      <c r="E18" s="17">
        <v>65763.43</v>
      </c>
      <c r="H18" s="17">
        <v>67637.42</v>
      </c>
      <c r="J18" s="17">
        <v>0.0</v>
      </c>
      <c r="L18" s="17">
        <v>1873.99</v>
      </c>
      <c r="N18" s="18">
        <v>60886.2</v>
      </c>
      <c r="O18" s="4" t="s">
        <v>34</v>
      </c>
    </row>
    <row r="19">
      <c r="A19" s="19" t="s">
        <v>35</v>
      </c>
      <c r="B19" s="11"/>
      <c r="C19" s="11"/>
      <c r="D19" s="11"/>
      <c r="E19" s="11"/>
      <c r="F19" s="11"/>
      <c r="G19" s="11"/>
      <c r="H19" s="11"/>
      <c r="I19" s="11"/>
      <c r="J19" s="20">
        <v>0.0</v>
      </c>
      <c r="K19" s="11"/>
      <c r="L19" s="20">
        <v>2425.41</v>
      </c>
      <c r="M19" s="11"/>
      <c r="N19" s="21">
        <v>79526.2</v>
      </c>
      <c r="O19" s="4"/>
    </row>
    <row r="20">
      <c r="A20" s="15" t="s">
        <v>20</v>
      </c>
      <c r="C20" s="16">
        <v>4.0</v>
      </c>
      <c r="D20" s="16">
        <v>10.0</v>
      </c>
      <c r="E20" s="17">
        <v>417774.76</v>
      </c>
      <c r="H20" s="17">
        <v>417839.16</v>
      </c>
      <c r="J20" s="17">
        <v>0.0</v>
      </c>
      <c r="L20" s="17">
        <v>64.4</v>
      </c>
      <c r="N20" s="18">
        <v>2136.0</v>
      </c>
      <c r="O20" s="4" t="s">
        <v>36</v>
      </c>
    </row>
    <row r="21">
      <c r="A21" s="15" t="s">
        <v>32</v>
      </c>
      <c r="C21" s="16">
        <v>4.0</v>
      </c>
      <c r="D21" s="16">
        <v>11.0</v>
      </c>
      <c r="E21" s="17">
        <v>177639.39</v>
      </c>
      <c r="H21" s="17">
        <v>177639.39</v>
      </c>
      <c r="J21" s="17">
        <v>0.0</v>
      </c>
      <c r="L21" s="17">
        <v>0.0</v>
      </c>
      <c r="N21" s="18">
        <v>0.0</v>
      </c>
      <c r="O21" s="4" t="s">
        <v>37</v>
      </c>
    </row>
    <row r="22">
      <c r="A22" s="15" t="s">
        <v>24</v>
      </c>
      <c r="C22" s="16">
        <v>4.0</v>
      </c>
      <c r="D22" s="16">
        <v>12.0</v>
      </c>
      <c r="E22" s="17">
        <v>859430.27</v>
      </c>
      <c r="H22" s="17">
        <v>859808.85</v>
      </c>
      <c r="J22" s="17">
        <v>0.0</v>
      </c>
      <c r="L22" s="17">
        <v>378.58</v>
      </c>
      <c r="N22" s="18">
        <v>12300.0</v>
      </c>
      <c r="O22" s="4" t="s">
        <v>38</v>
      </c>
    </row>
    <row r="23">
      <c r="A23" s="19" t="s">
        <v>39</v>
      </c>
      <c r="B23" s="11"/>
      <c r="C23" s="11"/>
      <c r="D23" s="11"/>
      <c r="E23" s="11"/>
      <c r="F23" s="11"/>
      <c r="G23" s="11"/>
      <c r="H23" s="11"/>
      <c r="I23" s="11"/>
      <c r="J23" s="20">
        <v>0.0</v>
      </c>
      <c r="K23" s="11"/>
      <c r="L23" s="20">
        <v>442.98</v>
      </c>
      <c r="M23" s="11"/>
      <c r="N23" s="21">
        <v>14436.0</v>
      </c>
      <c r="O23" s="4"/>
    </row>
    <row r="24">
      <c r="A24" s="15" t="s">
        <v>40</v>
      </c>
      <c r="C24" s="16">
        <v>5.0</v>
      </c>
      <c r="D24" s="16">
        <v>13.0</v>
      </c>
      <c r="E24" s="17">
        <v>671031.0</v>
      </c>
      <c r="H24" s="17">
        <v>671207.34</v>
      </c>
      <c r="J24" s="17">
        <v>0.0</v>
      </c>
      <c r="L24" s="17">
        <v>176.34</v>
      </c>
      <c r="N24" s="18">
        <v>5470.0</v>
      </c>
      <c r="O24" s="4" t="s">
        <v>41</v>
      </c>
    </row>
    <row r="25">
      <c r="A25" s="15" t="s">
        <v>22</v>
      </c>
      <c r="C25" s="16">
        <v>5.0</v>
      </c>
      <c r="D25" s="16">
        <v>14.0</v>
      </c>
      <c r="E25" s="17">
        <v>968661.58</v>
      </c>
      <c r="H25" s="17">
        <v>969134.13</v>
      </c>
      <c r="J25" s="17">
        <v>0.0</v>
      </c>
      <c r="L25" s="17">
        <v>472.55</v>
      </c>
      <c r="N25" s="18">
        <v>15506.5</v>
      </c>
      <c r="O25" s="4" t="s">
        <v>42</v>
      </c>
    </row>
    <row r="26">
      <c r="A26" s="15" t="s">
        <v>24</v>
      </c>
      <c r="C26" s="16">
        <v>5.0</v>
      </c>
      <c r="D26" s="16">
        <v>15.0</v>
      </c>
      <c r="E26" s="17">
        <v>652171.23</v>
      </c>
      <c r="H26" s="17">
        <v>652824.35</v>
      </c>
      <c r="J26" s="17">
        <v>0.0</v>
      </c>
      <c r="L26" s="17">
        <v>653.12</v>
      </c>
      <c r="N26" s="18">
        <v>21220.0</v>
      </c>
      <c r="O26" s="4" t="s">
        <v>43</v>
      </c>
    </row>
    <row r="27">
      <c r="A27" s="19" t="s">
        <v>44</v>
      </c>
      <c r="B27" s="11"/>
      <c r="C27" s="11"/>
      <c r="D27" s="11"/>
      <c r="E27" s="11"/>
      <c r="F27" s="11"/>
      <c r="G27" s="11"/>
      <c r="H27" s="11"/>
      <c r="I27" s="11"/>
      <c r="J27" s="20">
        <v>0.0</v>
      </c>
      <c r="K27" s="11"/>
      <c r="L27" s="20">
        <v>1302.01</v>
      </c>
      <c r="M27" s="11"/>
      <c r="N27" s="21">
        <v>42196.5</v>
      </c>
      <c r="O27" s="4"/>
    </row>
    <row r="28">
      <c r="A28" s="15" t="s">
        <v>40</v>
      </c>
      <c r="C28" s="16">
        <v>6.0</v>
      </c>
      <c r="D28" s="16">
        <v>16.0</v>
      </c>
      <c r="E28" s="17">
        <v>135636.97</v>
      </c>
      <c r="H28" s="17">
        <v>135643.44</v>
      </c>
      <c r="J28" s="17">
        <v>0.0</v>
      </c>
      <c r="L28" s="17">
        <v>6.47</v>
      </c>
      <c r="N28" s="18">
        <v>200.0</v>
      </c>
      <c r="O28" s="4" t="s">
        <v>45</v>
      </c>
    </row>
    <row r="29">
      <c r="A29" s="15" t="s">
        <v>22</v>
      </c>
      <c r="C29" s="16">
        <v>6.0</v>
      </c>
      <c r="D29" s="16">
        <v>17.0</v>
      </c>
      <c r="E29" s="17">
        <v>232438.39</v>
      </c>
      <c r="H29" s="17">
        <v>232526.97</v>
      </c>
      <c r="J29" s="17">
        <v>0.0</v>
      </c>
      <c r="L29" s="17">
        <v>88.58</v>
      </c>
      <c r="N29" s="18">
        <v>2910.0</v>
      </c>
      <c r="O29" s="4" t="s">
        <v>46</v>
      </c>
    </row>
    <row r="30">
      <c r="A30" s="15" t="s">
        <v>24</v>
      </c>
      <c r="C30" s="16">
        <v>6.0</v>
      </c>
      <c r="D30" s="16">
        <v>18.0</v>
      </c>
      <c r="E30" s="17">
        <v>476760.38</v>
      </c>
      <c r="H30" s="17">
        <v>476785.33</v>
      </c>
      <c r="J30" s="17">
        <v>0.0</v>
      </c>
      <c r="L30" s="17">
        <v>24.95</v>
      </c>
      <c r="N30" s="18">
        <v>810.5</v>
      </c>
      <c r="O30" s="4" t="s">
        <v>47</v>
      </c>
    </row>
    <row r="31">
      <c r="A31" s="19" t="s">
        <v>48</v>
      </c>
      <c r="B31" s="11"/>
      <c r="C31" s="11"/>
      <c r="D31" s="11"/>
      <c r="E31" s="11"/>
      <c r="F31" s="11"/>
      <c r="G31" s="11"/>
      <c r="H31" s="11"/>
      <c r="I31" s="11"/>
      <c r="J31" s="20">
        <v>0.0</v>
      </c>
      <c r="K31" s="11"/>
      <c r="L31" s="20">
        <v>120.0</v>
      </c>
      <c r="M31" s="11"/>
      <c r="N31" s="21">
        <v>3920.5</v>
      </c>
      <c r="O31" s="4"/>
    </row>
    <row r="32">
      <c r="A32" s="15" t="s">
        <v>40</v>
      </c>
      <c r="C32" s="16">
        <v>7.0</v>
      </c>
      <c r="D32" s="16">
        <v>19.0</v>
      </c>
      <c r="E32" s="17">
        <v>26296.68</v>
      </c>
      <c r="H32" s="17">
        <v>26583.58</v>
      </c>
      <c r="J32" s="17">
        <v>0.0</v>
      </c>
      <c r="L32" s="17">
        <v>286.9</v>
      </c>
      <c r="N32" s="18">
        <v>8906.7</v>
      </c>
      <c r="O32" s="4" t="s">
        <v>49</v>
      </c>
    </row>
    <row r="33">
      <c r="A33" s="15" t="s">
        <v>32</v>
      </c>
      <c r="C33" s="16">
        <v>7.0</v>
      </c>
      <c r="D33" s="16">
        <v>20.0</v>
      </c>
      <c r="E33" s="17">
        <v>390645.65</v>
      </c>
      <c r="H33" s="17">
        <v>390645.65</v>
      </c>
      <c r="J33" s="17">
        <v>0.0</v>
      </c>
      <c r="L33" s="17">
        <v>0.0</v>
      </c>
      <c r="N33" s="18">
        <v>0.0</v>
      </c>
      <c r="O33" s="4" t="s">
        <v>50</v>
      </c>
    </row>
    <row r="34">
      <c r="A34" s="15" t="s">
        <v>24</v>
      </c>
      <c r="C34" s="16">
        <v>7.0</v>
      </c>
      <c r="D34" s="16">
        <v>21.0</v>
      </c>
      <c r="E34" s="17">
        <v>421928.09</v>
      </c>
      <c r="H34" s="17">
        <v>423640.11</v>
      </c>
      <c r="J34" s="17">
        <v>0.0</v>
      </c>
      <c r="L34" s="17">
        <v>1712.02</v>
      </c>
      <c r="N34" s="18">
        <v>55623.7</v>
      </c>
      <c r="O34" s="4" t="s">
        <v>51</v>
      </c>
    </row>
    <row r="35">
      <c r="A35" s="19" t="s">
        <v>52</v>
      </c>
      <c r="B35" s="11"/>
      <c r="C35" s="11"/>
      <c r="D35" s="11"/>
      <c r="E35" s="11"/>
      <c r="F35" s="11"/>
      <c r="G35" s="11"/>
      <c r="H35" s="11"/>
      <c r="I35" s="11"/>
      <c r="J35" s="20">
        <v>0.0</v>
      </c>
      <c r="K35" s="11"/>
      <c r="L35" s="20">
        <v>1998.92</v>
      </c>
      <c r="M35" s="11"/>
      <c r="N35" s="21">
        <v>64530.4</v>
      </c>
      <c r="O35" s="4"/>
    </row>
    <row r="36">
      <c r="A36" s="15" t="s">
        <v>40</v>
      </c>
      <c r="C36" s="16">
        <v>8.0</v>
      </c>
      <c r="D36" s="16">
        <v>22.0</v>
      </c>
      <c r="E36" s="17">
        <v>237976.65</v>
      </c>
      <c r="H36" s="17">
        <v>238040.07</v>
      </c>
      <c r="J36" s="17">
        <v>0.0</v>
      </c>
      <c r="L36" s="17">
        <v>63.42</v>
      </c>
      <c r="N36" s="18">
        <v>1960.0</v>
      </c>
      <c r="O36" s="4" t="s">
        <v>53</v>
      </c>
    </row>
    <row r="37">
      <c r="A37" s="15" t="s">
        <v>32</v>
      </c>
      <c r="C37" s="16">
        <v>8.0</v>
      </c>
      <c r="D37" s="16">
        <v>23.0</v>
      </c>
      <c r="E37" s="17">
        <v>119466.7</v>
      </c>
      <c r="H37" s="17">
        <v>119466.7</v>
      </c>
      <c r="J37" s="17">
        <v>0.0</v>
      </c>
      <c r="L37" s="17">
        <v>0.0</v>
      </c>
      <c r="N37" s="18">
        <v>0.0</v>
      </c>
      <c r="O37" s="4" t="s">
        <v>54</v>
      </c>
    </row>
    <row r="38">
      <c r="A38" s="15" t="s">
        <v>24</v>
      </c>
      <c r="C38" s="16">
        <v>8.0</v>
      </c>
      <c r="D38" s="16">
        <v>24.0</v>
      </c>
      <c r="E38" s="17">
        <v>627162.47</v>
      </c>
      <c r="H38" s="17">
        <v>627620.73</v>
      </c>
      <c r="J38" s="17">
        <v>0.0</v>
      </c>
      <c r="L38" s="17">
        <v>458.26</v>
      </c>
      <c r="N38" s="18">
        <v>14889.0</v>
      </c>
      <c r="O38" s="4" t="s">
        <v>55</v>
      </c>
    </row>
    <row r="39">
      <c r="A39" s="19" t="s">
        <v>56</v>
      </c>
      <c r="B39" s="11"/>
      <c r="C39" s="11"/>
      <c r="D39" s="11"/>
      <c r="E39" s="11"/>
      <c r="F39" s="11"/>
      <c r="G39" s="11"/>
      <c r="H39" s="11"/>
      <c r="I39" s="11"/>
      <c r="J39" s="20">
        <v>0.0</v>
      </c>
      <c r="K39" s="11"/>
      <c r="L39" s="20">
        <v>521.68</v>
      </c>
      <c r="M39" s="11"/>
      <c r="N39" s="21">
        <v>16849.0</v>
      </c>
      <c r="O39" s="4"/>
    </row>
    <row r="40">
      <c r="A40" s="15" t="s">
        <v>40</v>
      </c>
      <c r="C40" s="16">
        <v>9.0</v>
      </c>
      <c r="D40" s="16">
        <v>25.0</v>
      </c>
      <c r="E40" s="17">
        <v>381595.82</v>
      </c>
      <c r="H40" s="17">
        <v>381650.66</v>
      </c>
      <c r="J40" s="17">
        <v>0.0</v>
      </c>
      <c r="L40" s="17">
        <v>54.84</v>
      </c>
      <c r="N40" s="18">
        <v>1700.0</v>
      </c>
      <c r="O40" s="4" t="s">
        <v>57</v>
      </c>
    </row>
    <row r="41">
      <c r="A41" s="15" t="s">
        <v>22</v>
      </c>
      <c r="C41" s="16">
        <v>9.0</v>
      </c>
      <c r="D41" s="16">
        <v>26.0</v>
      </c>
      <c r="E41" s="17">
        <v>717893.19</v>
      </c>
      <c r="H41" s="17">
        <v>718077.68</v>
      </c>
      <c r="J41" s="17">
        <v>0.0</v>
      </c>
      <c r="L41" s="17">
        <v>184.49</v>
      </c>
      <c r="N41" s="18">
        <v>6040.0</v>
      </c>
      <c r="O41" s="4" t="s">
        <v>58</v>
      </c>
    </row>
    <row r="42">
      <c r="A42" s="15" t="s">
        <v>24</v>
      </c>
      <c r="C42" s="16">
        <v>9.0</v>
      </c>
      <c r="D42" s="16">
        <v>27.0</v>
      </c>
      <c r="E42" s="17">
        <v>457070.22</v>
      </c>
      <c r="H42" s="17">
        <v>457359.54</v>
      </c>
      <c r="J42" s="17">
        <v>0.0</v>
      </c>
      <c r="L42" s="17">
        <v>289.32</v>
      </c>
      <c r="N42" s="18">
        <v>9400.0</v>
      </c>
      <c r="O42" s="4" t="s">
        <v>59</v>
      </c>
    </row>
    <row r="43">
      <c r="A43" s="19" t="s">
        <v>60</v>
      </c>
      <c r="B43" s="11"/>
      <c r="C43" s="11"/>
      <c r="D43" s="11"/>
      <c r="E43" s="11"/>
      <c r="F43" s="11"/>
      <c r="G43" s="11"/>
      <c r="H43" s="11"/>
      <c r="I43" s="11"/>
      <c r="J43" s="20">
        <v>0.0</v>
      </c>
      <c r="K43" s="11"/>
      <c r="L43" s="20">
        <v>528.65</v>
      </c>
      <c r="M43" s="11"/>
      <c r="N43" s="21">
        <v>17140.0</v>
      </c>
      <c r="O43" s="4"/>
    </row>
    <row r="44">
      <c r="A44" s="15" t="s">
        <v>40</v>
      </c>
      <c r="C44" s="16">
        <v>10.0</v>
      </c>
      <c r="D44" s="16">
        <v>28.0</v>
      </c>
      <c r="E44" s="17">
        <v>81126.71</v>
      </c>
      <c r="H44" s="17">
        <v>81133.19</v>
      </c>
      <c r="J44" s="17">
        <v>0.0</v>
      </c>
      <c r="L44" s="17">
        <v>6.48</v>
      </c>
      <c r="N44" s="18">
        <v>200.0</v>
      </c>
      <c r="O44" s="4" t="s">
        <v>61</v>
      </c>
    </row>
    <row r="45">
      <c r="A45" s="15" t="s">
        <v>22</v>
      </c>
      <c r="C45" s="16">
        <v>10.0</v>
      </c>
      <c r="D45" s="16">
        <v>29.0</v>
      </c>
      <c r="E45" s="17">
        <v>218461.58</v>
      </c>
      <c r="H45" s="17">
        <v>218469.18</v>
      </c>
      <c r="J45" s="17">
        <v>0.0</v>
      </c>
      <c r="L45" s="17">
        <v>7.6</v>
      </c>
      <c r="N45" s="18">
        <v>250.0</v>
      </c>
      <c r="O45" s="4" t="s">
        <v>62</v>
      </c>
    </row>
    <row r="46">
      <c r="A46" s="15" t="s">
        <v>24</v>
      </c>
      <c r="C46" s="16">
        <v>10.0</v>
      </c>
      <c r="D46" s="16">
        <v>30.0</v>
      </c>
      <c r="E46" s="17">
        <v>367409.74</v>
      </c>
      <c r="H46" s="17">
        <v>367478.38</v>
      </c>
      <c r="J46" s="17">
        <v>0.0</v>
      </c>
      <c r="L46" s="17">
        <v>68.64</v>
      </c>
      <c r="N46" s="18">
        <v>2230.0</v>
      </c>
      <c r="O46" s="4" t="s">
        <v>63</v>
      </c>
    </row>
    <row r="47">
      <c r="A47" s="19" t="s">
        <v>64</v>
      </c>
      <c r="B47" s="11"/>
      <c r="C47" s="11"/>
      <c r="D47" s="11"/>
      <c r="E47" s="11"/>
      <c r="F47" s="11"/>
      <c r="G47" s="11"/>
      <c r="H47" s="11"/>
      <c r="I47" s="11"/>
      <c r="J47" s="20">
        <v>0.0</v>
      </c>
      <c r="K47" s="11"/>
      <c r="L47" s="20">
        <v>82.72</v>
      </c>
      <c r="M47" s="11"/>
      <c r="N47" s="21">
        <v>2680.0</v>
      </c>
      <c r="O47" s="4"/>
    </row>
    <row r="48">
      <c r="A48" s="15" t="s">
        <v>65</v>
      </c>
      <c r="C48" s="16">
        <v>11.0</v>
      </c>
      <c r="D48" s="16">
        <v>31.0</v>
      </c>
      <c r="E48" s="17">
        <v>211870.89</v>
      </c>
      <c r="H48" s="17">
        <v>211907.46</v>
      </c>
      <c r="J48" s="17">
        <v>0.0</v>
      </c>
      <c r="L48" s="17">
        <v>36.57</v>
      </c>
      <c r="N48" s="18">
        <v>1080.0</v>
      </c>
      <c r="O48" s="4" t="s">
        <v>66</v>
      </c>
    </row>
    <row r="49">
      <c r="A49" s="15" t="s">
        <v>20</v>
      </c>
      <c r="C49" s="16">
        <v>11.0</v>
      </c>
      <c r="D49" s="16">
        <v>32.0</v>
      </c>
      <c r="E49" s="17">
        <v>906948.28</v>
      </c>
      <c r="H49" s="17">
        <v>907159.04</v>
      </c>
      <c r="J49" s="17">
        <v>0.0</v>
      </c>
      <c r="L49" s="17">
        <v>210.76</v>
      </c>
      <c r="N49" s="18">
        <v>6981.5</v>
      </c>
      <c r="O49" s="4" t="s">
        <v>67</v>
      </c>
    </row>
    <row r="50">
      <c r="A50" s="15" t="s">
        <v>24</v>
      </c>
      <c r="C50" s="16">
        <v>11.0</v>
      </c>
      <c r="D50" s="16">
        <v>33.0</v>
      </c>
      <c r="E50" s="17">
        <v>785206.16</v>
      </c>
      <c r="H50" s="17">
        <v>786496.48</v>
      </c>
      <c r="J50" s="17">
        <v>0.0</v>
      </c>
      <c r="L50" s="17">
        <v>1290.32</v>
      </c>
      <c r="N50" s="18">
        <v>41922.5</v>
      </c>
      <c r="O50" s="4" t="s">
        <v>68</v>
      </c>
    </row>
    <row r="51">
      <c r="A51" s="19" t="s">
        <v>69</v>
      </c>
      <c r="B51" s="11"/>
      <c r="C51" s="11"/>
      <c r="D51" s="11"/>
      <c r="E51" s="11"/>
      <c r="F51" s="11"/>
      <c r="G51" s="11"/>
      <c r="H51" s="11"/>
      <c r="I51" s="11"/>
      <c r="J51" s="20">
        <v>0.0</v>
      </c>
      <c r="K51" s="11"/>
      <c r="L51" s="20">
        <v>1537.65</v>
      </c>
      <c r="M51" s="11"/>
      <c r="N51" s="21">
        <v>49984.0</v>
      </c>
      <c r="O51" s="4"/>
    </row>
    <row r="52">
      <c r="A52" s="15" t="s">
        <v>65</v>
      </c>
      <c r="C52" s="16">
        <v>12.0</v>
      </c>
      <c r="D52" s="16">
        <v>34.0</v>
      </c>
      <c r="E52" s="17">
        <v>55508.69</v>
      </c>
      <c r="H52" s="17">
        <v>55510.38</v>
      </c>
      <c r="J52" s="17">
        <v>0.0</v>
      </c>
      <c r="L52" s="17">
        <v>1.69</v>
      </c>
      <c r="N52" s="18">
        <v>50.0</v>
      </c>
      <c r="O52" s="4" t="s">
        <v>70</v>
      </c>
    </row>
    <row r="53">
      <c r="A53" s="15" t="s">
        <v>20</v>
      </c>
      <c r="C53" s="16">
        <v>12.0</v>
      </c>
      <c r="D53" s="16">
        <v>35.0</v>
      </c>
      <c r="E53" s="17">
        <v>317583.66</v>
      </c>
      <c r="H53" s="17">
        <v>317618.33</v>
      </c>
      <c r="J53" s="17">
        <v>0.0</v>
      </c>
      <c r="L53" s="17">
        <v>34.67</v>
      </c>
      <c r="N53" s="18">
        <v>1150.0</v>
      </c>
      <c r="O53" s="4" t="s">
        <v>71</v>
      </c>
    </row>
    <row r="54">
      <c r="A54" s="15" t="s">
        <v>24</v>
      </c>
      <c r="C54" s="16">
        <v>12.0</v>
      </c>
      <c r="D54" s="16">
        <v>36.0</v>
      </c>
      <c r="E54" s="17">
        <v>452661.28</v>
      </c>
      <c r="H54" s="17">
        <v>452744.38</v>
      </c>
      <c r="J54" s="17">
        <v>0.0</v>
      </c>
      <c r="L54" s="17">
        <v>83.1</v>
      </c>
      <c r="N54" s="18">
        <v>2700.0</v>
      </c>
      <c r="O54" s="4" t="s">
        <v>72</v>
      </c>
    </row>
    <row r="55">
      <c r="A55" s="19" t="s">
        <v>73</v>
      </c>
      <c r="B55" s="11"/>
      <c r="C55" s="11"/>
      <c r="D55" s="11"/>
      <c r="E55" s="11"/>
      <c r="F55" s="11"/>
      <c r="G55" s="11"/>
      <c r="H55" s="11"/>
      <c r="I55" s="11"/>
      <c r="J55" s="20">
        <v>0.0</v>
      </c>
      <c r="K55" s="11"/>
      <c r="L55" s="20">
        <v>119.46</v>
      </c>
      <c r="M55" s="11"/>
      <c r="N55" s="21">
        <v>3900.0</v>
      </c>
      <c r="O55" s="4"/>
    </row>
    <row r="56">
      <c r="A56" s="15" t="s">
        <v>40</v>
      </c>
      <c r="C56" s="16">
        <v>13.0</v>
      </c>
      <c r="D56" s="16">
        <v>37.0</v>
      </c>
      <c r="E56" s="17">
        <v>151049.68</v>
      </c>
      <c r="H56" s="17">
        <v>151128.02</v>
      </c>
      <c r="J56" s="17">
        <v>0.0</v>
      </c>
      <c r="L56" s="17">
        <v>78.34</v>
      </c>
      <c r="N56" s="18">
        <v>2420.0</v>
      </c>
      <c r="O56" s="4" t="s">
        <v>74</v>
      </c>
    </row>
    <row r="57">
      <c r="A57" s="15" t="s">
        <v>24</v>
      </c>
      <c r="C57" s="16">
        <v>13.0</v>
      </c>
      <c r="D57" s="16">
        <v>38.0</v>
      </c>
      <c r="E57" s="17">
        <v>467032.01</v>
      </c>
      <c r="H57" s="17">
        <v>467535.59</v>
      </c>
      <c r="J57" s="17">
        <v>0.0</v>
      </c>
      <c r="L57" s="17">
        <v>503.58</v>
      </c>
      <c r="N57" s="18">
        <v>16361.3</v>
      </c>
      <c r="O57" s="4" t="s">
        <v>75</v>
      </c>
    </row>
    <row r="58">
      <c r="A58" s="19" t="s">
        <v>76</v>
      </c>
      <c r="B58" s="11"/>
      <c r="C58" s="11"/>
      <c r="D58" s="11"/>
      <c r="E58" s="11"/>
      <c r="F58" s="11"/>
      <c r="G58" s="11"/>
      <c r="H58" s="11"/>
      <c r="I58" s="11"/>
      <c r="J58" s="20">
        <v>0.0</v>
      </c>
      <c r="K58" s="11"/>
      <c r="L58" s="20">
        <v>581.92</v>
      </c>
      <c r="M58" s="11"/>
      <c r="N58" s="21">
        <v>18781.3</v>
      </c>
      <c r="O58" s="4"/>
    </row>
    <row r="59">
      <c r="A59" s="15" t="s">
        <v>40</v>
      </c>
      <c r="C59" s="16">
        <v>14.0</v>
      </c>
      <c r="D59" s="16">
        <v>39.0</v>
      </c>
      <c r="E59" s="17">
        <v>16718.18</v>
      </c>
      <c r="H59" s="17">
        <v>16918.18</v>
      </c>
      <c r="J59" s="17">
        <v>0.0</v>
      </c>
      <c r="L59" s="17">
        <v>200.0</v>
      </c>
      <c r="N59" s="18">
        <v>6178.0</v>
      </c>
      <c r="O59" s="4" t="s">
        <v>77</v>
      </c>
    </row>
    <row r="60">
      <c r="A60" s="15" t="s">
        <v>24</v>
      </c>
      <c r="C60" s="16">
        <v>14.0</v>
      </c>
      <c r="D60" s="16">
        <v>40.0</v>
      </c>
      <c r="E60" s="17">
        <v>172619.26</v>
      </c>
      <c r="H60" s="17">
        <v>173219.26</v>
      </c>
      <c r="J60" s="17">
        <v>0.0</v>
      </c>
      <c r="L60" s="17">
        <v>600.0</v>
      </c>
      <c r="N60" s="18">
        <v>19494.0</v>
      </c>
      <c r="O60" s="4" t="s">
        <v>78</v>
      </c>
    </row>
    <row r="61">
      <c r="A61" s="19" t="s">
        <v>79</v>
      </c>
      <c r="B61" s="11"/>
      <c r="C61" s="11"/>
      <c r="D61" s="11"/>
      <c r="E61" s="11"/>
      <c r="F61" s="11"/>
      <c r="G61" s="11"/>
      <c r="H61" s="11"/>
      <c r="I61" s="11"/>
      <c r="J61" s="20">
        <v>0.0</v>
      </c>
      <c r="K61" s="11"/>
      <c r="L61" s="20">
        <v>800.0</v>
      </c>
      <c r="M61" s="11"/>
      <c r="N61" s="21">
        <v>25672.0</v>
      </c>
      <c r="O61" s="4"/>
    </row>
    <row r="62">
      <c r="A62" s="15" t="s">
        <v>65</v>
      </c>
      <c r="C62" s="16">
        <v>15.0</v>
      </c>
      <c r="D62" s="16">
        <v>41.0</v>
      </c>
      <c r="E62" s="17">
        <v>226061.51</v>
      </c>
      <c r="H62" s="17">
        <v>226078.61</v>
      </c>
      <c r="J62" s="17">
        <v>0.0</v>
      </c>
      <c r="L62" s="17">
        <v>17.1</v>
      </c>
      <c r="N62" s="18">
        <v>500.0</v>
      </c>
      <c r="O62" s="4" t="s">
        <v>80</v>
      </c>
    </row>
    <row r="63">
      <c r="A63" s="15" t="s">
        <v>81</v>
      </c>
      <c r="C63" s="16">
        <v>15.0</v>
      </c>
      <c r="D63" s="16">
        <v>42.0</v>
      </c>
      <c r="E63" s="17">
        <v>173313.87</v>
      </c>
      <c r="H63" s="17">
        <v>173313.87</v>
      </c>
      <c r="J63" s="17">
        <v>0.0</v>
      </c>
      <c r="L63" s="17">
        <v>0.0</v>
      </c>
      <c r="N63" s="18">
        <v>0.0</v>
      </c>
      <c r="O63" s="4" t="s">
        <v>82</v>
      </c>
    </row>
    <row r="64">
      <c r="A64" s="19" t="s">
        <v>83</v>
      </c>
      <c r="B64" s="11"/>
      <c r="C64" s="11"/>
      <c r="D64" s="11"/>
      <c r="E64" s="11"/>
      <c r="F64" s="11"/>
      <c r="G64" s="11"/>
      <c r="H64" s="11"/>
      <c r="I64" s="11"/>
      <c r="J64" s="20">
        <v>0.0</v>
      </c>
      <c r="K64" s="11"/>
      <c r="L64" s="20">
        <v>17.1</v>
      </c>
      <c r="M64" s="11"/>
      <c r="N64" s="21">
        <v>500.0</v>
      </c>
      <c r="O64" s="4"/>
    </row>
    <row r="65">
      <c r="A65" s="15" t="s">
        <v>65</v>
      </c>
      <c r="C65" s="16">
        <v>16.0</v>
      </c>
      <c r="D65" s="16">
        <v>43.0</v>
      </c>
      <c r="E65" s="17">
        <v>39325.28</v>
      </c>
      <c r="H65" s="17">
        <v>39325.28</v>
      </c>
      <c r="J65" s="17">
        <v>0.0</v>
      </c>
      <c r="L65" s="17">
        <v>0.0</v>
      </c>
      <c r="N65" s="18">
        <v>0.0</v>
      </c>
      <c r="O65" s="4" t="s">
        <v>84</v>
      </c>
    </row>
    <row r="66">
      <c r="A66" s="15" t="s">
        <v>81</v>
      </c>
      <c r="C66" s="16">
        <v>16.0</v>
      </c>
      <c r="D66" s="16">
        <v>44.0</v>
      </c>
      <c r="E66" s="17">
        <v>71565.85</v>
      </c>
      <c r="H66" s="17">
        <v>71570.61</v>
      </c>
      <c r="J66" s="17">
        <v>0.0</v>
      </c>
      <c r="L66" s="17">
        <v>4.76</v>
      </c>
      <c r="N66" s="18">
        <v>200.0</v>
      </c>
      <c r="O66" s="4" t="s">
        <v>85</v>
      </c>
    </row>
    <row r="67">
      <c r="A67" s="19" t="s">
        <v>86</v>
      </c>
      <c r="B67" s="11"/>
      <c r="C67" s="11"/>
      <c r="D67" s="11"/>
      <c r="E67" s="11"/>
      <c r="F67" s="11"/>
      <c r="G67" s="11"/>
      <c r="H67" s="11"/>
      <c r="I67" s="11"/>
      <c r="J67" s="20">
        <v>0.0</v>
      </c>
      <c r="K67" s="11"/>
      <c r="L67" s="20">
        <v>4.76</v>
      </c>
      <c r="M67" s="11"/>
      <c r="N67" s="21">
        <v>200.0</v>
      </c>
      <c r="O67" s="4"/>
    </row>
    <row r="68">
      <c r="A68" s="22" t="s">
        <v>87</v>
      </c>
      <c r="B68" s="11"/>
      <c r="C68" s="23"/>
      <c r="D68" s="23"/>
      <c r="E68" s="23"/>
      <c r="F68" s="11"/>
      <c r="G68" s="11"/>
      <c r="H68" s="23"/>
      <c r="I68" s="11"/>
      <c r="J68" s="20">
        <v>0.0</v>
      </c>
      <c r="K68" s="11"/>
      <c r="L68" s="20">
        <v>12689.86</v>
      </c>
      <c r="M68" s="11"/>
      <c r="N68" s="21">
        <v>412740.2</v>
      </c>
      <c r="O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>
      <c r="N76" s="2"/>
      <c r="O76" s="2"/>
    </row>
    <row r="77">
      <c r="N77" s="2"/>
      <c r="O77" s="2"/>
    </row>
    <row r="78">
      <c r="N78" s="2"/>
      <c r="O78" s="2"/>
    </row>
    <row r="79">
      <c r="N79" s="2"/>
      <c r="O79" s="2"/>
    </row>
    <row r="80">
      <c r="N80" s="2"/>
      <c r="O80" s="2"/>
    </row>
    <row r="81">
      <c r="N81" s="2"/>
      <c r="O81" s="2"/>
    </row>
    <row r="82">
      <c r="N82" s="2"/>
      <c r="O82" s="2"/>
    </row>
    <row r="83">
      <c r="N83" s="2"/>
      <c r="O83" s="2"/>
    </row>
    <row r="84">
      <c r="N84" s="2"/>
      <c r="O84" s="2"/>
    </row>
    <row r="85">
      <c r="N85" s="2"/>
      <c r="O85" s="2"/>
    </row>
    <row r="86">
      <c r="N86" s="2"/>
      <c r="O86" s="2"/>
    </row>
    <row r="87">
      <c r="N87" s="2"/>
      <c r="O87" s="2"/>
    </row>
    <row r="88">
      <c r="N88" s="2"/>
      <c r="O88" s="2"/>
    </row>
    <row r="89">
      <c r="N89" s="2"/>
      <c r="O89" s="2"/>
    </row>
    <row r="90">
      <c r="N90" s="2"/>
      <c r="O90" s="2"/>
    </row>
    <row r="91">
      <c r="N91" s="2"/>
      <c r="O91" s="2"/>
    </row>
    <row r="92">
      <c r="N92" s="2"/>
      <c r="O92" s="2"/>
    </row>
    <row r="93">
      <c r="N93" s="2"/>
      <c r="O93" s="2"/>
    </row>
    <row r="94">
      <c r="N94" s="2"/>
      <c r="O94" s="2"/>
    </row>
    <row r="95">
      <c r="N95" s="2"/>
      <c r="O95" s="2"/>
    </row>
    <row r="96">
      <c r="N96" s="2"/>
      <c r="O96" s="2"/>
    </row>
    <row r="97">
      <c r="N97" s="2"/>
      <c r="O97" s="2"/>
    </row>
    <row r="98">
      <c r="N98" s="2"/>
      <c r="O98" s="2"/>
    </row>
    <row r="99">
      <c r="N99" s="2"/>
      <c r="O99" s="2"/>
    </row>
    <row r="100">
      <c r="N100" s="2"/>
      <c r="O100" s="2"/>
    </row>
    <row r="101">
      <c r="N101" s="2"/>
      <c r="O101" s="2"/>
    </row>
    <row r="102">
      <c r="N102" s="2"/>
      <c r="O102" s="2"/>
    </row>
    <row r="103">
      <c r="N103" s="2"/>
      <c r="O103" s="2"/>
    </row>
    <row r="104">
      <c r="N104" s="2"/>
      <c r="O104" s="2"/>
    </row>
    <row r="105">
      <c r="N105" s="2"/>
      <c r="O105" s="2"/>
    </row>
    <row r="106">
      <c r="N106" s="2"/>
      <c r="O106" s="2"/>
    </row>
    <row r="107">
      <c r="N107" s="2"/>
      <c r="O107" s="2"/>
    </row>
    <row r="108">
      <c r="N108" s="2"/>
      <c r="O108" s="2"/>
    </row>
    <row r="109">
      <c r="N109" s="2"/>
      <c r="O109" s="2"/>
    </row>
    <row r="110">
      <c r="N110" s="2"/>
      <c r="O110" s="2"/>
    </row>
    <row r="111">
      <c r="N111" s="2"/>
      <c r="O111" s="2"/>
    </row>
    <row r="112">
      <c r="N112" s="2"/>
      <c r="O112" s="2"/>
    </row>
    <row r="113">
      <c r="N113" s="2"/>
      <c r="O113" s="2"/>
    </row>
    <row r="114">
      <c r="N114" s="2"/>
      <c r="O114" s="2"/>
    </row>
    <row r="115">
      <c r="N115" s="2"/>
      <c r="O115" s="2"/>
    </row>
    <row r="116">
      <c r="N116" s="2"/>
      <c r="O116" s="2"/>
    </row>
    <row r="117">
      <c r="N117" s="2"/>
      <c r="O117" s="2"/>
    </row>
    <row r="118">
      <c r="N118" s="2"/>
      <c r="O118" s="2"/>
    </row>
    <row r="119">
      <c r="N119" s="2"/>
      <c r="O119" s="2"/>
    </row>
    <row r="120">
      <c r="N120" s="2"/>
      <c r="O120" s="2"/>
    </row>
    <row r="121">
      <c r="N121" s="2"/>
      <c r="O121" s="2"/>
    </row>
    <row r="122">
      <c r="N122" s="2"/>
      <c r="O122" s="2"/>
    </row>
    <row r="123">
      <c r="N123" s="2"/>
      <c r="O123" s="2"/>
    </row>
    <row r="124">
      <c r="N124" s="2"/>
      <c r="O124" s="2"/>
    </row>
    <row r="125">
      <c r="N125" s="2"/>
      <c r="O125" s="2"/>
    </row>
    <row r="126">
      <c r="N126" s="2"/>
      <c r="O126" s="2"/>
    </row>
    <row r="127">
      <c r="N127" s="2"/>
      <c r="O127" s="2"/>
    </row>
    <row r="128">
      <c r="N128" s="2"/>
      <c r="O128" s="2"/>
    </row>
    <row r="129">
      <c r="N129" s="2"/>
      <c r="O129" s="2"/>
    </row>
    <row r="130">
      <c r="N130" s="2"/>
      <c r="O130" s="2"/>
    </row>
    <row r="131">
      <c r="N131" s="2"/>
      <c r="O131" s="2"/>
    </row>
    <row r="132">
      <c r="N132" s="2"/>
      <c r="O132" s="2"/>
    </row>
    <row r="133">
      <c r="N133" s="2"/>
      <c r="O133" s="2"/>
    </row>
    <row r="134">
      <c r="N134" s="2"/>
      <c r="O134" s="2"/>
    </row>
    <row r="135">
      <c r="N135" s="2"/>
      <c r="O135" s="2"/>
    </row>
    <row r="136">
      <c r="N136" s="2"/>
      <c r="O136" s="2"/>
    </row>
    <row r="137">
      <c r="N137" s="2"/>
      <c r="O137" s="2"/>
    </row>
    <row r="138">
      <c r="N138" s="2"/>
      <c r="O138" s="2"/>
    </row>
    <row r="139">
      <c r="N139" s="2"/>
      <c r="O139" s="2"/>
    </row>
    <row r="140">
      <c r="N140" s="2"/>
      <c r="O140" s="2"/>
    </row>
    <row r="141">
      <c r="N141" s="2"/>
      <c r="O141" s="2"/>
    </row>
    <row r="142">
      <c r="N142" s="2"/>
      <c r="O142" s="2"/>
    </row>
    <row r="143">
      <c r="N143" s="2"/>
      <c r="O143" s="2"/>
    </row>
    <row r="144">
      <c r="N144" s="2"/>
      <c r="O144" s="2"/>
    </row>
    <row r="145">
      <c r="N145" s="2"/>
      <c r="O145" s="2"/>
    </row>
    <row r="146">
      <c r="N146" s="2"/>
      <c r="O146" s="2"/>
    </row>
    <row r="147">
      <c r="N147" s="2"/>
      <c r="O147" s="2"/>
    </row>
    <row r="148">
      <c r="N148" s="2"/>
      <c r="O148" s="2"/>
    </row>
    <row r="149">
      <c r="N149" s="2"/>
      <c r="O149" s="2"/>
    </row>
    <row r="150">
      <c r="N150" s="2"/>
      <c r="O150" s="2"/>
    </row>
    <row r="151">
      <c r="N151" s="2"/>
      <c r="O151" s="2"/>
    </row>
    <row r="152">
      <c r="N152" s="2"/>
      <c r="O152" s="2"/>
    </row>
    <row r="153">
      <c r="N153" s="2"/>
      <c r="O153" s="2"/>
    </row>
    <row r="154">
      <c r="N154" s="2"/>
      <c r="O154" s="2"/>
    </row>
    <row r="155">
      <c r="N155" s="2"/>
      <c r="O155" s="2"/>
    </row>
    <row r="156">
      <c r="N156" s="2"/>
      <c r="O156" s="2"/>
    </row>
    <row r="157">
      <c r="N157" s="2"/>
      <c r="O157" s="2"/>
    </row>
    <row r="158">
      <c r="N158" s="2"/>
      <c r="O158" s="2"/>
    </row>
    <row r="159">
      <c r="N159" s="2"/>
      <c r="O159" s="2"/>
    </row>
    <row r="160">
      <c r="N160" s="2"/>
      <c r="O160" s="2"/>
    </row>
    <row r="161">
      <c r="N161" s="2"/>
      <c r="O161" s="2"/>
    </row>
    <row r="162">
      <c r="N162" s="2"/>
      <c r="O162" s="2"/>
    </row>
    <row r="163">
      <c r="N163" s="2"/>
      <c r="O163" s="2"/>
    </row>
    <row r="164">
      <c r="N164" s="2"/>
      <c r="O164" s="2"/>
    </row>
    <row r="165">
      <c r="N165" s="2"/>
      <c r="O165" s="2"/>
    </row>
    <row r="166">
      <c r="N166" s="2"/>
      <c r="O166" s="2"/>
    </row>
    <row r="167">
      <c r="N167" s="2"/>
      <c r="O167" s="2"/>
    </row>
    <row r="168">
      <c r="N168" s="2"/>
      <c r="O168" s="2"/>
    </row>
    <row r="169">
      <c r="N169" s="2"/>
      <c r="O169" s="2"/>
    </row>
    <row r="170">
      <c r="N170" s="2"/>
      <c r="O170" s="2"/>
    </row>
    <row r="171">
      <c r="N171" s="2"/>
      <c r="O171" s="2"/>
    </row>
    <row r="172">
      <c r="N172" s="2"/>
      <c r="O172" s="2"/>
    </row>
    <row r="173">
      <c r="N173" s="2"/>
      <c r="O173" s="2"/>
    </row>
    <row r="174">
      <c r="N174" s="2"/>
      <c r="O174" s="2"/>
    </row>
    <row r="175">
      <c r="N175" s="2"/>
      <c r="O175" s="2"/>
    </row>
    <row r="176">
      <c r="N176" s="2"/>
      <c r="O176" s="2"/>
    </row>
    <row r="177">
      <c r="N177" s="2"/>
      <c r="O177" s="2"/>
    </row>
    <row r="178">
      <c r="N178" s="2"/>
      <c r="O178" s="2"/>
    </row>
    <row r="179">
      <c r="N179" s="2"/>
      <c r="O179" s="2"/>
    </row>
    <row r="180">
      <c r="N180" s="2"/>
      <c r="O180" s="2"/>
    </row>
    <row r="181">
      <c r="N181" s="2"/>
      <c r="O181" s="2"/>
    </row>
    <row r="182">
      <c r="N182" s="2"/>
      <c r="O182" s="2"/>
    </row>
    <row r="183">
      <c r="N183" s="2"/>
      <c r="O183" s="2"/>
    </row>
    <row r="184">
      <c r="N184" s="2"/>
      <c r="O184" s="2"/>
    </row>
    <row r="185">
      <c r="N185" s="2"/>
      <c r="O185" s="2"/>
    </row>
    <row r="186">
      <c r="N186" s="2"/>
      <c r="O186" s="2"/>
    </row>
    <row r="187">
      <c r="N187" s="2"/>
      <c r="O187" s="2"/>
    </row>
    <row r="188">
      <c r="N188" s="2"/>
      <c r="O188" s="2"/>
    </row>
    <row r="189">
      <c r="N189" s="2"/>
      <c r="O189" s="2"/>
    </row>
    <row r="190">
      <c r="N190" s="2"/>
      <c r="O190" s="2"/>
    </row>
    <row r="191">
      <c r="N191" s="2"/>
      <c r="O191" s="2"/>
    </row>
    <row r="192">
      <c r="N192" s="2"/>
      <c r="O192" s="2"/>
    </row>
    <row r="193">
      <c r="N193" s="2"/>
      <c r="O193" s="2"/>
    </row>
    <row r="194">
      <c r="N194" s="2"/>
      <c r="O194" s="2"/>
    </row>
    <row r="195">
      <c r="N195" s="2"/>
      <c r="O195" s="2"/>
    </row>
    <row r="196">
      <c r="N196" s="2"/>
      <c r="O196" s="2"/>
    </row>
    <row r="197">
      <c r="N197" s="2"/>
      <c r="O197" s="2"/>
    </row>
    <row r="198">
      <c r="N198" s="2"/>
      <c r="O198" s="2"/>
    </row>
    <row r="199">
      <c r="N199" s="2"/>
      <c r="O199" s="2"/>
    </row>
    <row r="200">
      <c r="N200" s="2"/>
      <c r="O200" s="2"/>
    </row>
    <row r="201">
      <c r="N201" s="2"/>
      <c r="O201" s="2"/>
    </row>
    <row r="202">
      <c r="N202" s="2"/>
      <c r="O202" s="2"/>
    </row>
    <row r="203">
      <c r="N203" s="2"/>
      <c r="O203" s="2"/>
    </row>
    <row r="204">
      <c r="N204" s="2"/>
      <c r="O204" s="2"/>
    </row>
    <row r="205">
      <c r="N205" s="2"/>
      <c r="O205" s="2"/>
    </row>
    <row r="206">
      <c r="N206" s="2"/>
      <c r="O206" s="2"/>
    </row>
    <row r="207">
      <c r="N207" s="2"/>
      <c r="O207" s="2"/>
    </row>
    <row r="208">
      <c r="N208" s="2"/>
      <c r="O208" s="2"/>
    </row>
    <row r="209">
      <c r="N209" s="2"/>
      <c r="O209" s="2"/>
    </row>
    <row r="210">
      <c r="N210" s="2"/>
      <c r="O210" s="2"/>
    </row>
    <row r="211">
      <c r="N211" s="2"/>
      <c r="O211" s="2"/>
    </row>
    <row r="212">
      <c r="N212" s="2"/>
      <c r="O212" s="2"/>
    </row>
    <row r="213">
      <c r="N213" s="2"/>
      <c r="O213" s="2"/>
    </row>
    <row r="214">
      <c r="N214" s="2"/>
      <c r="O214" s="2"/>
    </row>
    <row r="215">
      <c r="N215" s="2"/>
      <c r="O215" s="2"/>
    </row>
    <row r="216">
      <c r="N216" s="2"/>
      <c r="O216" s="2"/>
    </row>
    <row r="217">
      <c r="N217" s="2"/>
      <c r="O217" s="2"/>
    </row>
    <row r="218">
      <c r="N218" s="2"/>
      <c r="O218" s="2"/>
    </row>
    <row r="219">
      <c r="N219" s="2"/>
      <c r="O219" s="2"/>
    </row>
    <row r="220">
      <c r="N220" s="2"/>
      <c r="O220" s="2"/>
    </row>
    <row r="221">
      <c r="N221" s="2"/>
      <c r="O221" s="2"/>
    </row>
    <row r="222">
      <c r="N222" s="2"/>
      <c r="O222" s="2"/>
    </row>
    <row r="223">
      <c r="N223" s="2"/>
      <c r="O223" s="2"/>
    </row>
    <row r="224">
      <c r="N224" s="2"/>
      <c r="O224" s="2"/>
    </row>
    <row r="225">
      <c r="N225" s="2"/>
      <c r="O225" s="2"/>
    </row>
    <row r="226">
      <c r="N226" s="2"/>
      <c r="O226" s="2"/>
    </row>
    <row r="227">
      <c r="N227" s="2"/>
      <c r="O227" s="2"/>
    </row>
    <row r="228">
      <c r="N228" s="2"/>
      <c r="O228" s="2"/>
    </row>
    <row r="229">
      <c r="N229" s="2"/>
      <c r="O229" s="2"/>
    </row>
    <row r="230">
      <c r="N230" s="2"/>
      <c r="O230" s="2"/>
    </row>
    <row r="231">
      <c r="N231" s="2"/>
      <c r="O231" s="2"/>
    </row>
    <row r="232">
      <c r="N232" s="2"/>
      <c r="O232" s="2"/>
    </row>
    <row r="233">
      <c r="N233" s="2"/>
      <c r="O233" s="2"/>
    </row>
    <row r="234">
      <c r="N234" s="2"/>
      <c r="O234" s="2"/>
    </row>
    <row r="235">
      <c r="N235" s="2"/>
      <c r="O235" s="2"/>
    </row>
    <row r="236">
      <c r="N236" s="2"/>
      <c r="O236" s="2"/>
    </row>
    <row r="237">
      <c r="N237" s="2"/>
      <c r="O237" s="2"/>
    </row>
    <row r="238">
      <c r="N238" s="2"/>
      <c r="O238" s="2"/>
    </row>
    <row r="239">
      <c r="N239" s="2"/>
      <c r="O239" s="2"/>
    </row>
    <row r="240">
      <c r="N240" s="2"/>
      <c r="O240" s="2"/>
    </row>
    <row r="241">
      <c r="N241" s="2"/>
      <c r="O241" s="2"/>
    </row>
    <row r="242">
      <c r="N242" s="2"/>
      <c r="O242" s="2"/>
    </row>
    <row r="243">
      <c r="N243" s="2"/>
      <c r="O243" s="2"/>
    </row>
    <row r="244">
      <c r="N244" s="2"/>
      <c r="O244" s="2"/>
    </row>
    <row r="245">
      <c r="N245" s="2"/>
      <c r="O245" s="2"/>
    </row>
    <row r="246">
      <c r="N246" s="2"/>
      <c r="O246" s="2"/>
    </row>
    <row r="247">
      <c r="N247" s="2"/>
      <c r="O247" s="2"/>
    </row>
    <row r="248">
      <c r="N248" s="2"/>
      <c r="O248" s="2"/>
    </row>
    <row r="249">
      <c r="N249" s="2"/>
      <c r="O249" s="2"/>
    </row>
    <row r="250">
      <c r="N250" s="2"/>
      <c r="O250" s="2"/>
    </row>
    <row r="251">
      <c r="N251" s="2"/>
      <c r="O251" s="2"/>
    </row>
    <row r="252">
      <c r="N252" s="2"/>
      <c r="O252" s="2"/>
    </row>
    <row r="253">
      <c r="N253" s="2"/>
      <c r="O253" s="2"/>
    </row>
    <row r="254">
      <c r="N254" s="2"/>
      <c r="O254" s="2"/>
    </row>
    <row r="255">
      <c r="N255" s="2"/>
      <c r="O255" s="2"/>
    </row>
    <row r="256">
      <c r="N256" s="2"/>
      <c r="O256" s="2"/>
    </row>
    <row r="257">
      <c r="N257" s="2"/>
      <c r="O257" s="2"/>
    </row>
    <row r="258">
      <c r="N258" s="2"/>
      <c r="O258" s="2"/>
    </row>
    <row r="259">
      <c r="N259" s="2"/>
      <c r="O259" s="2"/>
    </row>
    <row r="260">
      <c r="N260" s="2"/>
      <c r="O260" s="2"/>
    </row>
    <row r="261">
      <c r="N261" s="2"/>
      <c r="O261" s="2"/>
    </row>
    <row r="262">
      <c r="N262" s="2"/>
      <c r="O262" s="2"/>
    </row>
    <row r="263">
      <c r="N263" s="2"/>
      <c r="O263" s="2"/>
    </row>
    <row r="264">
      <c r="N264" s="2"/>
      <c r="O264" s="2"/>
    </row>
    <row r="265">
      <c r="N265" s="2"/>
      <c r="O265" s="2"/>
    </row>
    <row r="266">
      <c r="N266" s="2"/>
      <c r="O266" s="2"/>
    </row>
    <row r="267">
      <c r="N267" s="2"/>
      <c r="O267" s="2"/>
    </row>
    <row r="268">
      <c r="N268" s="2"/>
      <c r="O268" s="2"/>
    </row>
    <row r="269">
      <c r="N269" s="2"/>
      <c r="O269" s="2"/>
    </row>
    <row r="270">
      <c r="N270" s="2"/>
      <c r="O270" s="2"/>
    </row>
    <row r="271">
      <c r="N271" s="2"/>
      <c r="O271" s="2"/>
    </row>
    <row r="272">
      <c r="N272" s="2"/>
      <c r="O272" s="2"/>
    </row>
    <row r="273">
      <c r="N273" s="2"/>
      <c r="O273" s="2"/>
    </row>
    <row r="274">
      <c r="N274" s="2"/>
      <c r="O274" s="2"/>
    </row>
    <row r="275">
      <c r="N275" s="2"/>
      <c r="O275" s="2"/>
    </row>
    <row r="276">
      <c r="N276" s="2"/>
      <c r="O276" s="2"/>
    </row>
    <row r="277">
      <c r="N277" s="2"/>
      <c r="O277" s="2"/>
    </row>
    <row r="278">
      <c r="N278" s="2"/>
      <c r="O278" s="2"/>
    </row>
    <row r="279">
      <c r="N279" s="2"/>
      <c r="O279" s="2"/>
    </row>
    <row r="280">
      <c r="N280" s="2"/>
      <c r="O280" s="2"/>
    </row>
    <row r="281">
      <c r="N281" s="2"/>
      <c r="O281" s="2"/>
    </row>
    <row r="282">
      <c r="N282" s="2"/>
      <c r="O282" s="2"/>
    </row>
    <row r="283">
      <c r="N283" s="2"/>
      <c r="O283" s="2"/>
    </row>
    <row r="284">
      <c r="N284" s="2"/>
      <c r="O284" s="2"/>
    </row>
    <row r="285">
      <c r="N285" s="2"/>
      <c r="O285" s="2"/>
    </row>
    <row r="286">
      <c r="N286" s="2"/>
      <c r="O286" s="2"/>
    </row>
    <row r="287">
      <c r="N287" s="2"/>
      <c r="O287" s="2"/>
    </row>
    <row r="288">
      <c r="N288" s="2"/>
      <c r="O288" s="2"/>
    </row>
    <row r="289">
      <c r="N289" s="2"/>
      <c r="O289" s="2"/>
    </row>
    <row r="290">
      <c r="N290" s="2"/>
      <c r="O290" s="2"/>
    </row>
    <row r="291">
      <c r="N291" s="2"/>
      <c r="O291" s="2"/>
    </row>
    <row r="292">
      <c r="N292" s="2"/>
      <c r="O292" s="2"/>
    </row>
    <row r="293">
      <c r="N293" s="2"/>
      <c r="O293" s="2"/>
    </row>
    <row r="294">
      <c r="N294" s="2"/>
      <c r="O294" s="2"/>
    </row>
    <row r="295">
      <c r="N295" s="2"/>
      <c r="O295" s="2"/>
    </row>
    <row r="296">
      <c r="N296" s="2"/>
      <c r="O296" s="2"/>
    </row>
    <row r="297">
      <c r="N297" s="2"/>
      <c r="O297" s="2"/>
    </row>
    <row r="298">
      <c r="N298" s="2"/>
      <c r="O298" s="2"/>
    </row>
    <row r="299">
      <c r="N299" s="2"/>
      <c r="O299" s="2"/>
    </row>
    <row r="300">
      <c r="N300" s="2"/>
      <c r="O300" s="2"/>
    </row>
    <row r="301">
      <c r="N301" s="2"/>
      <c r="O301" s="2"/>
    </row>
    <row r="302">
      <c r="N302" s="2"/>
      <c r="O302" s="2"/>
    </row>
    <row r="303">
      <c r="N303" s="2"/>
      <c r="O303" s="2"/>
    </row>
    <row r="304">
      <c r="N304" s="2"/>
      <c r="O304" s="2"/>
    </row>
    <row r="305">
      <c r="N305" s="2"/>
      <c r="O305" s="2"/>
    </row>
    <row r="306">
      <c r="N306" s="2"/>
      <c r="O306" s="2"/>
    </row>
    <row r="307">
      <c r="N307" s="2"/>
      <c r="O307" s="2"/>
    </row>
    <row r="308">
      <c r="N308" s="2"/>
      <c r="O308" s="2"/>
    </row>
    <row r="309">
      <c r="N309" s="2"/>
      <c r="O309" s="2"/>
    </row>
    <row r="310">
      <c r="N310" s="2"/>
      <c r="O310" s="2"/>
    </row>
    <row r="311">
      <c r="N311" s="2"/>
      <c r="O311" s="2"/>
    </row>
    <row r="312">
      <c r="N312" s="2"/>
      <c r="O312" s="2"/>
    </row>
    <row r="313">
      <c r="N313" s="2"/>
      <c r="O313" s="2"/>
    </row>
    <row r="314">
      <c r="N314" s="2"/>
      <c r="O314" s="2"/>
    </row>
    <row r="315">
      <c r="N315" s="2"/>
      <c r="O315" s="2"/>
    </row>
    <row r="316">
      <c r="N316" s="2"/>
      <c r="O316" s="2"/>
    </row>
    <row r="317">
      <c r="N317" s="2"/>
      <c r="O317" s="2"/>
    </row>
    <row r="318">
      <c r="N318" s="2"/>
      <c r="O318" s="2"/>
    </row>
    <row r="319">
      <c r="N319" s="2"/>
      <c r="O319" s="2"/>
    </row>
    <row r="320">
      <c r="N320" s="2"/>
      <c r="O320" s="2"/>
    </row>
    <row r="321">
      <c r="N321" s="2"/>
      <c r="O321" s="2"/>
    </row>
    <row r="322">
      <c r="N322" s="2"/>
      <c r="O322" s="2"/>
    </row>
    <row r="323">
      <c r="N323" s="2"/>
      <c r="O323" s="2"/>
    </row>
    <row r="324">
      <c r="N324" s="2"/>
      <c r="O324" s="2"/>
    </row>
    <row r="325">
      <c r="N325" s="2"/>
      <c r="O325" s="2"/>
    </row>
    <row r="326">
      <c r="N326" s="2"/>
      <c r="O326" s="2"/>
    </row>
    <row r="327">
      <c r="N327" s="2"/>
      <c r="O327" s="2"/>
    </row>
    <row r="328">
      <c r="N328" s="2"/>
      <c r="O328" s="2"/>
    </row>
    <row r="329">
      <c r="N329" s="2"/>
      <c r="O329" s="2"/>
    </row>
    <row r="330">
      <c r="N330" s="2"/>
      <c r="O330" s="2"/>
    </row>
    <row r="331">
      <c r="N331" s="2"/>
      <c r="O331" s="2"/>
    </row>
    <row r="332">
      <c r="N332" s="2"/>
      <c r="O332" s="2"/>
    </row>
    <row r="333">
      <c r="N333" s="2"/>
      <c r="O333" s="2"/>
    </row>
    <row r="334">
      <c r="N334" s="2"/>
      <c r="O334" s="2"/>
    </row>
    <row r="335">
      <c r="N335" s="2"/>
      <c r="O335" s="2"/>
    </row>
    <row r="336">
      <c r="N336" s="2"/>
      <c r="O336" s="2"/>
    </row>
    <row r="337">
      <c r="N337" s="2"/>
      <c r="O337" s="2"/>
    </row>
    <row r="338">
      <c r="N338" s="2"/>
      <c r="O338" s="2"/>
    </row>
    <row r="339">
      <c r="N339" s="2"/>
      <c r="O339" s="2"/>
    </row>
    <row r="340">
      <c r="N340" s="2"/>
      <c r="O340" s="2"/>
    </row>
    <row r="341">
      <c r="N341" s="2"/>
      <c r="O341" s="2"/>
    </row>
    <row r="342">
      <c r="N342" s="2"/>
      <c r="O342" s="2"/>
    </row>
    <row r="343">
      <c r="N343" s="2"/>
      <c r="O343" s="2"/>
    </row>
    <row r="344">
      <c r="N344" s="2"/>
      <c r="O344" s="2"/>
    </row>
    <row r="345">
      <c r="N345" s="2"/>
      <c r="O345" s="2"/>
    </row>
    <row r="346">
      <c r="N346" s="2"/>
      <c r="O346" s="2"/>
    </row>
    <row r="347">
      <c r="N347" s="2"/>
      <c r="O347" s="2"/>
    </row>
    <row r="348">
      <c r="N348" s="2"/>
      <c r="O348" s="2"/>
    </row>
    <row r="349">
      <c r="N349" s="2"/>
      <c r="O349" s="2"/>
    </row>
    <row r="350">
      <c r="N350" s="2"/>
      <c r="O350" s="2"/>
    </row>
    <row r="351">
      <c r="N351" s="2"/>
      <c r="O351" s="2"/>
    </row>
    <row r="352">
      <c r="N352" s="2"/>
      <c r="O352" s="2"/>
    </row>
    <row r="353">
      <c r="N353" s="2"/>
      <c r="O353" s="2"/>
    </row>
    <row r="354">
      <c r="N354" s="2"/>
      <c r="O354" s="2"/>
    </row>
    <row r="355">
      <c r="N355" s="2"/>
      <c r="O355" s="2"/>
    </row>
    <row r="356">
      <c r="N356" s="2"/>
      <c r="O356" s="2"/>
    </row>
    <row r="357">
      <c r="N357" s="2"/>
      <c r="O357" s="2"/>
    </row>
    <row r="358">
      <c r="N358" s="2"/>
      <c r="O358" s="2"/>
    </row>
    <row r="359">
      <c r="N359" s="2"/>
      <c r="O359" s="2"/>
    </row>
    <row r="360">
      <c r="N360" s="2"/>
      <c r="O360" s="2"/>
    </row>
    <row r="361">
      <c r="N361" s="2"/>
      <c r="O361" s="2"/>
    </row>
    <row r="362">
      <c r="N362" s="2"/>
      <c r="O362" s="2"/>
    </row>
    <row r="363">
      <c r="N363" s="2"/>
      <c r="O363" s="2"/>
    </row>
    <row r="364">
      <c r="N364" s="2"/>
      <c r="O364" s="2"/>
    </row>
    <row r="365">
      <c r="N365" s="2"/>
      <c r="O365" s="2"/>
    </row>
    <row r="366">
      <c r="N366" s="2"/>
      <c r="O366" s="2"/>
    </row>
    <row r="367">
      <c r="N367" s="2"/>
      <c r="O367" s="2"/>
    </row>
    <row r="368">
      <c r="N368" s="2"/>
      <c r="O368" s="2"/>
    </row>
    <row r="369">
      <c r="N369" s="2"/>
      <c r="O369" s="2"/>
    </row>
    <row r="370">
      <c r="N370" s="2"/>
      <c r="O370" s="2"/>
    </row>
    <row r="371">
      <c r="N371" s="2"/>
      <c r="O371" s="2"/>
    </row>
    <row r="372">
      <c r="N372" s="2"/>
      <c r="O372" s="2"/>
    </row>
    <row r="373">
      <c r="N373" s="2"/>
      <c r="O373" s="2"/>
    </row>
    <row r="374">
      <c r="N374" s="2"/>
      <c r="O374" s="2"/>
    </row>
    <row r="375">
      <c r="N375" s="2"/>
      <c r="O375" s="2"/>
    </row>
    <row r="376">
      <c r="N376" s="2"/>
      <c r="O376" s="2"/>
    </row>
    <row r="377">
      <c r="N377" s="2"/>
      <c r="O377" s="2"/>
    </row>
    <row r="378">
      <c r="N378" s="2"/>
      <c r="O378" s="2"/>
    </row>
    <row r="379">
      <c r="N379" s="2"/>
      <c r="O379" s="2"/>
    </row>
    <row r="380">
      <c r="N380" s="2"/>
      <c r="O380" s="2"/>
    </row>
    <row r="381">
      <c r="N381" s="2"/>
      <c r="O381" s="2"/>
    </row>
    <row r="382">
      <c r="N382" s="2"/>
      <c r="O382" s="2"/>
    </row>
    <row r="383">
      <c r="N383" s="2"/>
      <c r="O383" s="2"/>
    </row>
    <row r="384">
      <c r="N384" s="2"/>
      <c r="O384" s="2"/>
    </row>
    <row r="385">
      <c r="N385" s="2"/>
      <c r="O385" s="2"/>
    </row>
    <row r="386">
      <c r="N386" s="2"/>
      <c r="O386" s="2"/>
    </row>
    <row r="387">
      <c r="N387" s="2"/>
      <c r="O387" s="2"/>
    </row>
    <row r="388">
      <c r="N388" s="2"/>
      <c r="O388" s="2"/>
    </row>
    <row r="389">
      <c r="N389" s="2"/>
      <c r="O389" s="2"/>
    </row>
    <row r="390">
      <c r="N390" s="2"/>
      <c r="O390" s="2"/>
    </row>
    <row r="391">
      <c r="N391" s="2"/>
      <c r="O391" s="2"/>
    </row>
    <row r="392">
      <c r="N392" s="2"/>
      <c r="O392" s="2"/>
    </row>
    <row r="393">
      <c r="N393" s="2"/>
      <c r="O393" s="2"/>
    </row>
    <row r="394">
      <c r="N394" s="2"/>
      <c r="O394" s="2"/>
    </row>
    <row r="395">
      <c r="N395" s="2"/>
      <c r="O395" s="2"/>
    </row>
    <row r="396">
      <c r="N396" s="2"/>
      <c r="O396" s="2"/>
    </row>
    <row r="397">
      <c r="N397" s="2"/>
      <c r="O397" s="2"/>
    </row>
    <row r="398">
      <c r="N398" s="2"/>
      <c r="O398" s="2"/>
    </row>
    <row r="399">
      <c r="N399" s="2"/>
      <c r="O399" s="2"/>
    </row>
    <row r="400">
      <c r="N400" s="2"/>
      <c r="O400" s="2"/>
    </row>
    <row r="401">
      <c r="N401" s="2"/>
      <c r="O401" s="2"/>
    </row>
    <row r="402">
      <c r="N402" s="2"/>
      <c r="O402" s="2"/>
    </row>
    <row r="403">
      <c r="N403" s="2"/>
      <c r="O403" s="2"/>
    </row>
    <row r="404">
      <c r="N404" s="2"/>
      <c r="O404" s="2"/>
    </row>
    <row r="405">
      <c r="N405" s="2"/>
      <c r="O405" s="2"/>
    </row>
    <row r="406">
      <c r="N406" s="2"/>
      <c r="O406" s="2"/>
    </row>
    <row r="407">
      <c r="N407" s="2"/>
      <c r="O407" s="2"/>
    </row>
    <row r="408">
      <c r="N408" s="2"/>
      <c r="O408" s="2"/>
    </row>
    <row r="409">
      <c r="N409" s="2"/>
      <c r="O409" s="2"/>
    </row>
    <row r="410">
      <c r="N410" s="2"/>
      <c r="O410" s="2"/>
    </row>
    <row r="411">
      <c r="N411" s="2"/>
      <c r="O411" s="2"/>
    </row>
    <row r="412">
      <c r="N412" s="2"/>
      <c r="O412" s="2"/>
    </row>
    <row r="413">
      <c r="N413" s="2"/>
      <c r="O413" s="2"/>
    </row>
    <row r="414">
      <c r="N414" s="2"/>
      <c r="O414" s="2"/>
    </row>
    <row r="415">
      <c r="N415" s="2"/>
      <c r="O415" s="2"/>
    </row>
    <row r="416">
      <c r="N416" s="2"/>
      <c r="O416" s="2"/>
    </row>
    <row r="417">
      <c r="N417" s="2"/>
      <c r="O417" s="2"/>
    </row>
    <row r="418">
      <c r="N418" s="2"/>
      <c r="O418" s="2"/>
    </row>
    <row r="419">
      <c r="N419" s="2"/>
      <c r="O419" s="2"/>
    </row>
    <row r="420">
      <c r="N420" s="2"/>
      <c r="O420" s="2"/>
    </row>
    <row r="421">
      <c r="N421" s="2"/>
      <c r="O421" s="2"/>
    </row>
    <row r="422">
      <c r="N422" s="2"/>
      <c r="O422" s="2"/>
    </row>
    <row r="423">
      <c r="N423" s="2"/>
      <c r="O423" s="2"/>
    </row>
    <row r="424">
      <c r="N424" s="2"/>
      <c r="O424" s="2"/>
    </row>
    <row r="425">
      <c r="N425" s="2"/>
      <c r="O425" s="2"/>
    </row>
    <row r="426">
      <c r="N426" s="2"/>
      <c r="O426" s="2"/>
    </row>
    <row r="427">
      <c r="N427" s="2"/>
      <c r="O427" s="2"/>
    </row>
    <row r="428">
      <c r="N428" s="2"/>
      <c r="O428" s="2"/>
    </row>
    <row r="429">
      <c r="N429" s="2"/>
      <c r="O429" s="2"/>
    </row>
    <row r="430">
      <c r="N430" s="2"/>
      <c r="O430" s="2"/>
    </row>
    <row r="431">
      <c r="N431" s="2"/>
      <c r="O431" s="2"/>
    </row>
    <row r="432">
      <c r="N432" s="2"/>
      <c r="O432" s="2"/>
    </row>
    <row r="433">
      <c r="N433" s="2"/>
      <c r="O433" s="2"/>
    </row>
    <row r="434">
      <c r="N434" s="2"/>
      <c r="O434" s="2"/>
    </row>
    <row r="435">
      <c r="N435" s="2"/>
      <c r="O435" s="2"/>
    </row>
    <row r="436">
      <c r="N436" s="2"/>
      <c r="O436" s="2"/>
    </row>
    <row r="437">
      <c r="N437" s="2"/>
      <c r="O437" s="2"/>
    </row>
    <row r="438">
      <c r="N438" s="2"/>
      <c r="O438" s="2"/>
    </row>
    <row r="439">
      <c r="N439" s="2"/>
      <c r="O439" s="2"/>
    </row>
    <row r="440">
      <c r="N440" s="2"/>
      <c r="O440" s="2"/>
    </row>
    <row r="441">
      <c r="N441" s="2"/>
      <c r="O441" s="2"/>
    </row>
    <row r="442">
      <c r="N442" s="2"/>
      <c r="O442" s="2"/>
    </row>
    <row r="443">
      <c r="N443" s="2"/>
      <c r="O443" s="2"/>
    </row>
    <row r="444">
      <c r="N444" s="2"/>
      <c r="O444" s="2"/>
    </row>
    <row r="445">
      <c r="N445" s="2"/>
      <c r="O445" s="2"/>
    </row>
    <row r="446">
      <c r="N446" s="2"/>
      <c r="O446" s="2"/>
    </row>
    <row r="447">
      <c r="N447" s="2"/>
      <c r="O447" s="2"/>
    </row>
    <row r="448">
      <c r="N448" s="2"/>
      <c r="O448" s="2"/>
    </row>
    <row r="449">
      <c r="N449" s="2"/>
      <c r="O449" s="2"/>
    </row>
    <row r="450">
      <c r="N450" s="2"/>
      <c r="O450" s="2"/>
    </row>
    <row r="451">
      <c r="N451" s="2"/>
      <c r="O451" s="2"/>
    </row>
    <row r="452">
      <c r="N452" s="2"/>
      <c r="O452" s="2"/>
    </row>
    <row r="453">
      <c r="N453" s="2"/>
      <c r="O453" s="2"/>
    </row>
    <row r="454">
      <c r="N454" s="2"/>
      <c r="O454" s="2"/>
    </row>
    <row r="455">
      <c r="N455" s="2"/>
      <c r="O455" s="2"/>
    </row>
    <row r="456">
      <c r="N456" s="2"/>
      <c r="O456" s="2"/>
    </row>
    <row r="457">
      <c r="N457" s="2"/>
      <c r="O457" s="2"/>
    </row>
    <row r="458">
      <c r="N458" s="2"/>
      <c r="O458" s="2"/>
    </row>
    <row r="459">
      <c r="N459" s="2"/>
      <c r="O459" s="2"/>
    </row>
    <row r="460">
      <c r="N460" s="2"/>
      <c r="O460" s="2"/>
    </row>
    <row r="461">
      <c r="N461" s="2"/>
      <c r="O461" s="2"/>
    </row>
    <row r="462">
      <c r="N462" s="2"/>
      <c r="O462" s="2"/>
    </row>
    <row r="463">
      <c r="N463" s="2"/>
      <c r="O463" s="2"/>
    </row>
    <row r="464">
      <c r="N464" s="2"/>
      <c r="O464" s="2"/>
    </row>
    <row r="465">
      <c r="N465" s="2"/>
      <c r="O465" s="2"/>
    </row>
    <row r="466">
      <c r="N466" s="2"/>
      <c r="O466" s="2"/>
    </row>
    <row r="467">
      <c r="N467" s="2"/>
      <c r="O467" s="2"/>
    </row>
    <row r="468">
      <c r="N468" s="2"/>
      <c r="O468" s="2"/>
    </row>
    <row r="469">
      <c r="N469" s="2"/>
      <c r="O469" s="2"/>
    </row>
    <row r="470">
      <c r="N470" s="2"/>
      <c r="O470" s="2"/>
    </row>
    <row r="471">
      <c r="N471" s="2"/>
      <c r="O471" s="2"/>
    </row>
    <row r="472">
      <c r="N472" s="2"/>
      <c r="O472" s="2"/>
    </row>
    <row r="473">
      <c r="N473" s="2"/>
      <c r="O473" s="2"/>
    </row>
    <row r="474">
      <c r="N474" s="2"/>
      <c r="O474" s="2"/>
    </row>
    <row r="475">
      <c r="N475" s="2"/>
      <c r="O475" s="2"/>
    </row>
    <row r="476">
      <c r="N476" s="2"/>
      <c r="O476" s="2"/>
    </row>
    <row r="477">
      <c r="N477" s="2"/>
      <c r="O477" s="2"/>
    </row>
    <row r="478">
      <c r="N478" s="2"/>
      <c r="O478" s="2"/>
    </row>
    <row r="479">
      <c r="N479" s="2"/>
      <c r="O479" s="2"/>
    </row>
    <row r="480">
      <c r="N480" s="2"/>
      <c r="O480" s="2"/>
    </row>
    <row r="481">
      <c r="N481" s="2"/>
      <c r="O481" s="2"/>
    </row>
    <row r="482">
      <c r="N482" s="2"/>
      <c r="O482" s="2"/>
    </row>
    <row r="483">
      <c r="N483" s="2"/>
      <c r="O483" s="2"/>
    </row>
    <row r="484">
      <c r="N484" s="2"/>
      <c r="O484" s="2"/>
    </row>
    <row r="485">
      <c r="N485" s="2"/>
      <c r="O485" s="2"/>
    </row>
    <row r="486">
      <c r="N486" s="2"/>
      <c r="O486" s="2"/>
    </row>
    <row r="487">
      <c r="N487" s="2"/>
      <c r="O487" s="2"/>
    </row>
    <row r="488">
      <c r="N488" s="2"/>
      <c r="O488" s="2"/>
    </row>
    <row r="489">
      <c r="N489" s="2"/>
      <c r="O489" s="2"/>
    </row>
    <row r="490">
      <c r="N490" s="2"/>
      <c r="O490" s="2"/>
    </row>
    <row r="491">
      <c r="N491" s="2"/>
      <c r="O491" s="2"/>
    </row>
    <row r="492">
      <c r="N492" s="2"/>
      <c r="O492" s="2"/>
    </row>
    <row r="493">
      <c r="N493" s="2"/>
      <c r="O493" s="2"/>
    </row>
    <row r="494">
      <c r="N494" s="2"/>
      <c r="O494" s="2"/>
    </row>
    <row r="495">
      <c r="N495" s="2"/>
      <c r="O495" s="2"/>
    </row>
    <row r="496">
      <c r="N496" s="2"/>
      <c r="O496" s="2"/>
    </row>
    <row r="497">
      <c r="N497" s="2"/>
      <c r="O497" s="2"/>
    </row>
    <row r="498">
      <c r="N498" s="2"/>
      <c r="O498" s="2"/>
    </row>
    <row r="499">
      <c r="N499" s="2"/>
      <c r="O499" s="2"/>
    </row>
    <row r="500">
      <c r="N500" s="2"/>
      <c r="O500" s="2"/>
    </row>
    <row r="501">
      <c r="N501" s="2"/>
      <c r="O501" s="2"/>
    </row>
    <row r="502">
      <c r="N502" s="2"/>
      <c r="O502" s="2"/>
    </row>
    <row r="503">
      <c r="N503" s="2"/>
      <c r="O503" s="2"/>
    </row>
    <row r="504">
      <c r="N504" s="2"/>
      <c r="O504" s="2"/>
    </row>
    <row r="505">
      <c r="N505" s="2"/>
      <c r="O505" s="2"/>
    </row>
    <row r="506">
      <c r="N506" s="2"/>
      <c r="O506" s="2"/>
    </row>
    <row r="507">
      <c r="N507" s="2"/>
      <c r="O507" s="2"/>
    </row>
    <row r="508">
      <c r="N508" s="2"/>
      <c r="O508" s="2"/>
    </row>
    <row r="509">
      <c r="N509" s="2"/>
      <c r="O509" s="2"/>
    </row>
    <row r="510">
      <c r="N510" s="2"/>
      <c r="O510" s="2"/>
    </row>
    <row r="511">
      <c r="N511" s="2"/>
      <c r="O511" s="2"/>
    </row>
    <row r="512">
      <c r="N512" s="2"/>
      <c r="O512" s="2"/>
    </row>
    <row r="513">
      <c r="N513" s="2"/>
      <c r="O513" s="2"/>
    </row>
    <row r="514">
      <c r="N514" s="2"/>
      <c r="O514" s="2"/>
    </row>
    <row r="515">
      <c r="N515" s="2"/>
      <c r="O515" s="2"/>
    </row>
    <row r="516">
      <c r="N516" s="2"/>
      <c r="O516" s="2"/>
    </row>
    <row r="517">
      <c r="N517" s="2"/>
      <c r="O517" s="2"/>
    </row>
    <row r="518">
      <c r="N518" s="2"/>
      <c r="O518" s="2"/>
    </row>
    <row r="519">
      <c r="N519" s="2"/>
      <c r="O519" s="2"/>
    </row>
    <row r="520">
      <c r="N520" s="2"/>
      <c r="O520" s="2"/>
    </row>
    <row r="521">
      <c r="N521" s="2"/>
      <c r="O521" s="2"/>
    </row>
    <row r="522">
      <c r="N522" s="2"/>
      <c r="O522" s="2"/>
    </row>
    <row r="523">
      <c r="N523" s="2"/>
      <c r="O523" s="2"/>
    </row>
    <row r="524">
      <c r="N524" s="2"/>
      <c r="O524" s="2"/>
    </row>
    <row r="525">
      <c r="N525" s="2"/>
      <c r="O525" s="2"/>
    </row>
    <row r="526">
      <c r="N526" s="2"/>
      <c r="O526" s="2"/>
    </row>
    <row r="527">
      <c r="N527" s="2"/>
      <c r="O527" s="2"/>
    </row>
    <row r="528">
      <c r="N528" s="2"/>
      <c r="O528" s="2"/>
    </row>
    <row r="529">
      <c r="N529" s="2"/>
      <c r="O529" s="2"/>
    </row>
    <row r="530">
      <c r="N530" s="2"/>
      <c r="O530" s="2"/>
    </row>
    <row r="531">
      <c r="N531" s="2"/>
      <c r="O531" s="2"/>
    </row>
    <row r="532">
      <c r="N532" s="2"/>
      <c r="O532" s="2"/>
    </row>
    <row r="533">
      <c r="N533" s="2"/>
      <c r="O533" s="2"/>
    </row>
    <row r="534">
      <c r="N534" s="2"/>
      <c r="O534" s="2"/>
    </row>
    <row r="535">
      <c r="N535" s="2"/>
      <c r="O535" s="2"/>
    </row>
    <row r="536">
      <c r="N536" s="2"/>
      <c r="O536" s="2"/>
    </row>
    <row r="537">
      <c r="N537" s="2"/>
      <c r="O537" s="2"/>
    </row>
    <row r="538">
      <c r="N538" s="2"/>
      <c r="O538" s="2"/>
    </row>
    <row r="539">
      <c r="N539" s="2"/>
      <c r="O539" s="2"/>
    </row>
    <row r="540">
      <c r="N540" s="2"/>
      <c r="O540" s="2"/>
    </row>
    <row r="541">
      <c r="N541" s="2"/>
      <c r="O541" s="2"/>
    </row>
    <row r="542">
      <c r="N542" s="2"/>
      <c r="O542" s="2"/>
    </row>
    <row r="543">
      <c r="N543" s="2"/>
      <c r="O543" s="2"/>
    </row>
    <row r="544">
      <c r="N544" s="2"/>
      <c r="O544" s="2"/>
    </row>
    <row r="545">
      <c r="N545" s="2"/>
      <c r="O545" s="2"/>
    </row>
    <row r="546">
      <c r="N546" s="2"/>
      <c r="O546" s="2"/>
    </row>
    <row r="547">
      <c r="N547" s="2"/>
      <c r="O547" s="2"/>
    </row>
    <row r="548">
      <c r="N548" s="2"/>
      <c r="O548" s="2"/>
    </row>
    <row r="549">
      <c r="N549" s="2"/>
      <c r="O549" s="2"/>
    </row>
    <row r="550">
      <c r="N550" s="2"/>
      <c r="O550" s="2"/>
    </row>
    <row r="551">
      <c r="N551" s="2"/>
      <c r="O551" s="2"/>
    </row>
    <row r="552">
      <c r="N552" s="2"/>
      <c r="O552" s="2"/>
    </row>
    <row r="553">
      <c r="N553" s="2"/>
      <c r="O553" s="2"/>
    </row>
    <row r="554">
      <c r="N554" s="2"/>
      <c r="O554" s="2"/>
    </row>
    <row r="555">
      <c r="N555" s="2"/>
      <c r="O555" s="2"/>
    </row>
    <row r="556">
      <c r="N556" s="2"/>
      <c r="O556" s="2"/>
    </row>
    <row r="557">
      <c r="N557" s="2"/>
      <c r="O557" s="2"/>
    </row>
    <row r="558">
      <c r="N558" s="2"/>
      <c r="O558" s="2"/>
    </row>
    <row r="559">
      <c r="N559" s="2"/>
      <c r="O559" s="2"/>
    </row>
    <row r="560">
      <c r="N560" s="2"/>
      <c r="O560" s="2"/>
    </row>
    <row r="561">
      <c r="N561" s="2"/>
      <c r="O561" s="2"/>
    </row>
    <row r="562">
      <c r="N562" s="2"/>
      <c r="O562" s="2"/>
    </row>
    <row r="563">
      <c r="N563" s="2"/>
      <c r="O563" s="2"/>
    </row>
    <row r="564">
      <c r="N564" s="2"/>
      <c r="O564" s="2"/>
    </row>
    <row r="565">
      <c r="N565" s="2"/>
      <c r="O565" s="2"/>
    </row>
    <row r="566">
      <c r="N566" s="2"/>
      <c r="O566" s="2"/>
    </row>
    <row r="567">
      <c r="N567" s="2"/>
      <c r="O567" s="2"/>
    </row>
    <row r="568">
      <c r="N568" s="2"/>
      <c r="O568" s="2"/>
    </row>
    <row r="569">
      <c r="N569" s="2"/>
      <c r="O569" s="2"/>
    </row>
    <row r="570">
      <c r="N570" s="2"/>
      <c r="O570" s="2"/>
    </row>
    <row r="571">
      <c r="N571" s="2"/>
      <c r="O571" s="2"/>
    </row>
    <row r="572">
      <c r="N572" s="2"/>
      <c r="O572" s="2"/>
    </row>
    <row r="573">
      <c r="N573" s="2"/>
      <c r="O573" s="2"/>
    </row>
    <row r="574">
      <c r="N574" s="2"/>
      <c r="O574" s="2"/>
    </row>
    <row r="575">
      <c r="N575" s="2"/>
      <c r="O575" s="2"/>
    </row>
    <row r="576">
      <c r="N576" s="2"/>
      <c r="O576" s="2"/>
    </row>
    <row r="577">
      <c r="N577" s="2"/>
      <c r="O577" s="2"/>
    </row>
    <row r="578">
      <c r="N578" s="2"/>
      <c r="O578" s="2"/>
    </row>
    <row r="579">
      <c r="N579" s="2"/>
      <c r="O579" s="2"/>
    </row>
    <row r="580">
      <c r="N580" s="2"/>
      <c r="O580" s="2"/>
    </row>
    <row r="581">
      <c r="N581" s="2"/>
      <c r="O581" s="2"/>
    </row>
    <row r="582">
      <c r="N582" s="2"/>
      <c r="O582" s="2"/>
    </row>
    <row r="583">
      <c r="N583" s="2"/>
      <c r="O583" s="2"/>
    </row>
    <row r="584">
      <c r="N584" s="2"/>
      <c r="O584" s="2"/>
    </row>
    <row r="585">
      <c r="N585" s="2"/>
      <c r="O585" s="2"/>
    </row>
    <row r="586">
      <c r="N586" s="2"/>
      <c r="O586" s="2"/>
    </row>
    <row r="587">
      <c r="N587" s="2"/>
      <c r="O587" s="2"/>
    </row>
    <row r="588">
      <c r="N588" s="2"/>
      <c r="O588" s="2"/>
    </row>
    <row r="589">
      <c r="N589" s="2"/>
      <c r="O589" s="2"/>
    </row>
    <row r="590">
      <c r="N590" s="2"/>
      <c r="O590" s="2"/>
    </row>
    <row r="591">
      <c r="N591" s="2"/>
      <c r="O591" s="2"/>
    </row>
    <row r="592">
      <c r="N592" s="2"/>
      <c r="O592" s="2"/>
    </row>
    <row r="593">
      <c r="N593" s="2"/>
      <c r="O593" s="2"/>
    </row>
    <row r="594">
      <c r="N594" s="2"/>
      <c r="O594" s="2"/>
    </row>
    <row r="595">
      <c r="N595" s="2"/>
      <c r="O595" s="2"/>
    </row>
    <row r="596">
      <c r="N596" s="2"/>
      <c r="O596" s="2"/>
    </row>
    <row r="597">
      <c r="N597" s="2"/>
      <c r="O597" s="2"/>
    </row>
    <row r="598">
      <c r="N598" s="2"/>
      <c r="O598" s="2"/>
    </row>
    <row r="599">
      <c r="N599" s="2"/>
      <c r="O599" s="2"/>
    </row>
    <row r="600">
      <c r="N600" s="2"/>
      <c r="O600" s="2"/>
    </row>
    <row r="601">
      <c r="N601" s="2"/>
      <c r="O601" s="2"/>
    </row>
    <row r="602">
      <c r="N602" s="2"/>
      <c r="O602" s="2"/>
    </row>
    <row r="603">
      <c r="N603" s="2"/>
      <c r="O603" s="2"/>
    </row>
    <row r="604">
      <c r="N604" s="2"/>
      <c r="O604" s="2"/>
    </row>
    <row r="605">
      <c r="N605" s="2"/>
      <c r="O605" s="2"/>
    </row>
    <row r="606">
      <c r="N606" s="2"/>
      <c r="O606" s="2"/>
    </row>
    <row r="607">
      <c r="N607" s="2"/>
      <c r="O607" s="2"/>
    </row>
    <row r="608">
      <c r="N608" s="2"/>
      <c r="O608" s="2"/>
    </row>
    <row r="609">
      <c r="N609" s="2"/>
      <c r="O609" s="2"/>
    </row>
    <row r="610">
      <c r="N610" s="2"/>
      <c r="O610" s="2"/>
    </row>
    <row r="611">
      <c r="N611" s="2"/>
      <c r="O611" s="2"/>
    </row>
    <row r="612">
      <c r="N612" s="2"/>
      <c r="O612" s="2"/>
    </row>
    <row r="613">
      <c r="N613" s="2"/>
      <c r="O613" s="2"/>
    </row>
    <row r="614">
      <c r="N614" s="2"/>
      <c r="O614" s="2"/>
    </row>
    <row r="615">
      <c r="N615" s="2"/>
      <c r="O615" s="2"/>
    </row>
    <row r="616">
      <c r="N616" s="2"/>
      <c r="O616" s="2"/>
    </row>
    <row r="617">
      <c r="N617" s="2"/>
      <c r="O617" s="2"/>
    </row>
    <row r="618">
      <c r="N618" s="2"/>
      <c r="O618" s="2"/>
    </row>
    <row r="619">
      <c r="N619" s="2"/>
      <c r="O619" s="2"/>
    </row>
    <row r="620">
      <c r="N620" s="2"/>
      <c r="O620" s="2"/>
    </row>
    <row r="621">
      <c r="N621" s="2"/>
      <c r="O621" s="2"/>
    </row>
    <row r="622">
      <c r="N622" s="2"/>
      <c r="O622" s="2"/>
    </row>
    <row r="623">
      <c r="N623" s="2"/>
      <c r="O623" s="2"/>
    </row>
    <row r="624">
      <c r="N624" s="2"/>
      <c r="O624" s="2"/>
    </row>
    <row r="625">
      <c r="N625" s="2"/>
      <c r="O625" s="2"/>
    </row>
    <row r="626">
      <c r="N626" s="2"/>
      <c r="O626" s="2"/>
    </row>
    <row r="627">
      <c r="N627" s="2"/>
      <c r="O627" s="2"/>
    </row>
    <row r="628">
      <c r="N628" s="2"/>
      <c r="O628" s="2"/>
    </row>
    <row r="629">
      <c r="N629" s="2"/>
      <c r="O629" s="2"/>
    </row>
    <row r="630">
      <c r="N630" s="2"/>
      <c r="O630" s="2"/>
    </row>
    <row r="631">
      <c r="N631" s="2"/>
      <c r="O631" s="2"/>
    </row>
    <row r="632">
      <c r="N632" s="2"/>
      <c r="O632" s="2"/>
    </row>
    <row r="633">
      <c r="N633" s="2"/>
      <c r="O633" s="2"/>
    </row>
    <row r="634">
      <c r="N634" s="2"/>
      <c r="O634" s="2"/>
    </row>
    <row r="635">
      <c r="N635" s="2"/>
      <c r="O635" s="2"/>
    </row>
    <row r="636">
      <c r="N636" s="2"/>
      <c r="O636" s="2"/>
    </row>
    <row r="637">
      <c r="N637" s="2"/>
      <c r="O637" s="2"/>
    </row>
    <row r="638">
      <c r="N638" s="2"/>
      <c r="O638" s="2"/>
    </row>
    <row r="639">
      <c r="N639" s="2"/>
      <c r="O639" s="2"/>
    </row>
    <row r="640">
      <c r="N640" s="2"/>
      <c r="O640" s="2"/>
    </row>
    <row r="641">
      <c r="N641" s="2"/>
      <c r="O641" s="2"/>
    </row>
    <row r="642">
      <c r="N642" s="2"/>
      <c r="O642" s="2"/>
    </row>
    <row r="643">
      <c r="N643" s="2"/>
      <c r="O643" s="2"/>
    </row>
    <row r="644">
      <c r="N644" s="2"/>
      <c r="O644" s="2"/>
    </row>
    <row r="645">
      <c r="N645" s="2"/>
      <c r="O645" s="2"/>
    </row>
    <row r="646">
      <c r="N646" s="2"/>
      <c r="O646" s="2"/>
    </row>
    <row r="647">
      <c r="N647" s="2"/>
      <c r="O647" s="2"/>
    </row>
    <row r="648">
      <c r="N648" s="2"/>
      <c r="O648" s="2"/>
    </row>
    <row r="649">
      <c r="N649" s="2"/>
      <c r="O649" s="2"/>
    </row>
    <row r="650">
      <c r="N650" s="2"/>
      <c r="O650" s="2"/>
    </row>
    <row r="651">
      <c r="N651" s="2"/>
      <c r="O651" s="2"/>
    </row>
    <row r="652">
      <c r="N652" s="2"/>
      <c r="O652" s="2"/>
    </row>
    <row r="653">
      <c r="N653" s="2"/>
      <c r="O653" s="2"/>
    </row>
    <row r="654">
      <c r="N654" s="2"/>
      <c r="O654" s="2"/>
    </row>
    <row r="655">
      <c r="N655" s="2"/>
      <c r="O655" s="2"/>
    </row>
    <row r="656">
      <c r="N656" s="2"/>
      <c r="O656" s="2"/>
    </row>
    <row r="657">
      <c r="N657" s="2"/>
      <c r="O657" s="2"/>
    </row>
    <row r="658">
      <c r="N658" s="2"/>
      <c r="O658" s="2"/>
    </row>
    <row r="659">
      <c r="N659" s="2"/>
      <c r="O659" s="2"/>
    </row>
    <row r="660">
      <c r="N660" s="2"/>
      <c r="O660" s="2"/>
    </row>
    <row r="661">
      <c r="N661" s="2"/>
      <c r="O661" s="2"/>
    </row>
    <row r="662">
      <c r="N662" s="2"/>
      <c r="O662" s="2"/>
    </row>
    <row r="663">
      <c r="N663" s="2"/>
      <c r="O663" s="2"/>
    </row>
    <row r="664">
      <c r="N664" s="2"/>
      <c r="O664" s="2"/>
    </row>
    <row r="665">
      <c r="N665" s="2"/>
      <c r="O665" s="2"/>
    </row>
    <row r="666">
      <c r="N666" s="2"/>
      <c r="O666" s="2"/>
    </row>
    <row r="667">
      <c r="N667" s="2"/>
      <c r="O667" s="2"/>
    </row>
    <row r="668">
      <c r="N668" s="2"/>
      <c r="O668" s="2"/>
    </row>
    <row r="669">
      <c r="N669" s="2"/>
      <c r="O669" s="2"/>
    </row>
    <row r="670">
      <c r="N670" s="2"/>
      <c r="O670" s="2"/>
    </row>
    <row r="671">
      <c r="N671" s="2"/>
      <c r="O671" s="2"/>
    </row>
    <row r="672">
      <c r="N672" s="2"/>
      <c r="O672" s="2"/>
    </row>
    <row r="673">
      <c r="N673" s="2"/>
      <c r="O673" s="2"/>
    </row>
    <row r="674">
      <c r="N674" s="2"/>
      <c r="O674" s="2"/>
    </row>
    <row r="675">
      <c r="N675" s="2"/>
      <c r="O675" s="2"/>
    </row>
    <row r="676">
      <c r="N676" s="2"/>
      <c r="O676" s="2"/>
    </row>
    <row r="677">
      <c r="N677" s="2"/>
      <c r="O677" s="2"/>
    </row>
    <row r="678">
      <c r="N678" s="2"/>
      <c r="O678" s="2"/>
    </row>
    <row r="679">
      <c r="N679" s="2"/>
      <c r="O679" s="2"/>
    </row>
    <row r="680">
      <c r="N680" s="2"/>
      <c r="O680" s="2"/>
    </row>
    <row r="681">
      <c r="N681" s="2"/>
      <c r="O681" s="2"/>
    </row>
    <row r="682">
      <c r="N682" s="2"/>
      <c r="O682" s="2"/>
    </row>
    <row r="683">
      <c r="N683" s="2"/>
      <c r="O683" s="2"/>
    </row>
    <row r="684">
      <c r="N684" s="2"/>
      <c r="O684" s="2"/>
    </row>
    <row r="685">
      <c r="N685" s="2"/>
      <c r="O685" s="2"/>
    </row>
    <row r="686">
      <c r="N686" s="2"/>
      <c r="O686" s="2"/>
    </row>
    <row r="687">
      <c r="N687" s="2"/>
      <c r="O687" s="2"/>
    </row>
    <row r="688">
      <c r="N688" s="2"/>
      <c r="O688" s="2"/>
    </row>
    <row r="689">
      <c r="N689" s="2"/>
      <c r="O689" s="2"/>
    </row>
    <row r="690">
      <c r="N690" s="2"/>
      <c r="O690" s="2"/>
    </row>
    <row r="691">
      <c r="N691" s="2"/>
      <c r="O691" s="2"/>
    </row>
    <row r="692">
      <c r="N692" s="2"/>
      <c r="O692" s="2"/>
    </row>
    <row r="693">
      <c r="N693" s="2"/>
      <c r="O693" s="2"/>
    </row>
    <row r="694">
      <c r="N694" s="2"/>
      <c r="O694" s="2"/>
    </row>
    <row r="695">
      <c r="N695" s="2"/>
      <c r="O695" s="2"/>
    </row>
    <row r="696">
      <c r="N696" s="2"/>
      <c r="O696" s="2"/>
    </row>
    <row r="697">
      <c r="N697" s="2"/>
      <c r="O697" s="2"/>
    </row>
    <row r="698">
      <c r="N698" s="2"/>
      <c r="O698" s="2"/>
    </row>
    <row r="699">
      <c r="N699" s="2"/>
      <c r="O699" s="2"/>
    </row>
    <row r="700">
      <c r="N700" s="2"/>
      <c r="O700" s="2"/>
    </row>
    <row r="701">
      <c r="N701" s="2"/>
      <c r="O701" s="2"/>
    </row>
    <row r="702">
      <c r="N702" s="2"/>
      <c r="O702" s="2"/>
    </row>
    <row r="703">
      <c r="N703" s="2"/>
      <c r="O703" s="2"/>
    </row>
    <row r="704">
      <c r="N704" s="2"/>
      <c r="O704" s="2"/>
    </row>
    <row r="705">
      <c r="N705" s="2"/>
      <c r="O705" s="2"/>
    </row>
    <row r="706">
      <c r="N706" s="2"/>
      <c r="O706" s="2"/>
    </row>
    <row r="707">
      <c r="N707" s="2"/>
      <c r="O707" s="2"/>
    </row>
    <row r="708">
      <c r="N708" s="2"/>
      <c r="O708" s="2"/>
    </row>
    <row r="709">
      <c r="N709" s="2"/>
      <c r="O709" s="2"/>
    </row>
    <row r="710">
      <c r="N710" s="2"/>
      <c r="O710" s="2"/>
    </row>
    <row r="711">
      <c r="N711" s="2"/>
      <c r="O711" s="2"/>
    </row>
    <row r="712">
      <c r="N712" s="2"/>
      <c r="O712" s="2"/>
    </row>
    <row r="713">
      <c r="N713" s="2"/>
      <c r="O713" s="2"/>
    </row>
    <row r="714">
      <c r="N714" s="2"/>
      <c r="O714" s="2"/>
    </row>
    <row r="715">
      <c r="N715" s="2"/>
      <c r="O715" s="2"/>
    </row>
    <row r="716">
      <c r="N716" s="2"/>
      <c r="O716" s="2"/>
    </row>
    <row r="717">
      <c r="N717" s="2"/>
      <c r="O717" s="2"/>
    </row>
    <row r="718">
      <c r="N718" s="2"/>
      <c r="O718" s="2"/>
    </row>
    <row r="719">
      <c r="N719" s="2"/>
      <c r="O719" s="2"/>
    </row>
    <row r="720">
      <c r="N720" s="2"/>
      <c r="O720" s="2"/>
    </row>
    <row r="721">
      <c r="N721" s="2"/>
      <c r="O721" s="2"/>
    </row>
    <row r="722">
      <c r="N722" s="2"/>
      <c r="O722" s="2"/>
    </row>
    <row r="723">
      <c r="N723" s="2"/>
      <c r="O723" s="2"/>
    </row>
    <row r="724">
      <c r="N724" s="2"/>
      <c r="O724" s="2"/>
    </row>
    <row r="725">
      <c r="N725" s="2"/>
      <c r="O725" s="2"/>
    </row>
    <row r="726">
      <c r="N726" s="2"/>
      <c r="O726" s="2"/>
    </row>
    <row r="727">
      <c r="N727" s="2"/>
      <c r="O727" s="2"/>
    </row>
    <row r="728">
      <c r="N728" s="2"/>
      <c r="O728" s="2"/>
    </row>
    <row r="729">
      <c r="N729" s="2"/>
      <c r="O729" s="2"/>
    </row>
    <row r="730">
      <c r="N730" s="2"/>
      <c r="O730" s="2"/>
    </row>
    <row r="731">
      <c r="N731" s="2"/>
      <c r="O731" s="2"/>
    </row>
    <row r="732">
      <c r="N732" s="2"/>
      <c r="O732" s="2"/>
    </row>
    <row r="733">
      <c r="N733" s="2"/>
      <c r="O733" s="2"/>
    </row>
    <row r="734">
      <c r="N734" s="2"/>
      <c r="O734" s="2"/>
    </row>
    <row r="735">
      <c r="N735" s="2"/>
      <c r="O735" s="2"/>
    </row>
    <row r="736">
      <c r="N736" s="2"/>
      <c r="O736" s="2"/>
    </row>
    <row r="737">
      <c r="N737" s="2"/>
      <c r="O737" s="2"/>
    </row>
    <row r="738">
      <c r="N738" s="2"/>
      <c r="O738" s="2"/>
    </row>
    <row r="739">
      <c r="N739" s="2"/>
      <c r="O739" s="2"/>
    </row>
    <row r="740">
      <c r="N740" s="2"/>
      <c r="O740" s="2"/>
    </row>
    <row r="741">
      <c r="N741" s="2"/>
      <c r="O741" s="2"/>
    </row>
    <row r="742">
      <c r="N742" s="2"/>
      <c r="O742" s="2"/>
    </row>
    <row r="743">
      <c r="N743" s="2"/>
      <c r="O743" s="2"/>
    </row>
    <row r="744">
      <c r="N744" s="2"/>
      <c r="O744" s="2"/>
    </row>
    <row r="745">
      <c r="N745" s="2"/>
      <c r="O745" s="2"/>
    </row>
    <row r="746">
      <c r="N746" s="2"/>
      <c r="O746" s="2"/>
    </row>
    <row r="747">
      <c r="N747" s="2"/>
      <c r="O747" s="2"/>
    </row>
    <row r="748">
      <c r="N748" s="2"/>
      <c r="O748" s="2"/>
    </row>
    <row r="749">
      <c r="N749" s="2"/>
      <c r="O749" s="2"/>
    </row>
    <row r="750">
      <c r="N750" s="2"/>
      <c r="O750" s="2"/>
    </row>
    <row r="751">
      <c r="N751" s="2"/>
      <c r="O751" s="2"/>
    </row>
    <row r="752">
      <c r="N752" s="2"/>
      <c r="O752" s="2"/>
    </row>
    <row r="753">
      <c r="N753" s="2"/>
      <c r="O753" s="2"/>
    </row>
    <row r="754">
      <c r="N754" s="2"/>
      <c r="O754" s="2"/>
    </row>
    <row r="755">
      <c r="N755" s="2"/>
      <c r="O755" s="2"/>
    </row>
    <row r="756">
      <c r="N756" s="2"/>
      <c r="O756" s="2"/>
    </row>
    <row r="757">
      <c r="N757" s="2"/>
      <c r="O757" s="2"/>
    </row>
    <row r="758">
      <c r="N758" s="2"/>
      <c r="O758" s="2"/>
    </row>
    <row r="759">
      <c r="N759" s="2"/>
      <c r="O759" s="2"/>
    </row>
    <row r="760">
      <c r="N760" s="2"/>
      <c r="O760" s="2"/>
    </row>
    <row r="761">
      <c r="N761" s="2"/>
      <c r="O761" s="2"/>
    </row>
    <row r="762">
      <c r="N762" s="2"/>
      <c r="O762" s="2"/>
    </row>
    <row r="763">
      <c r="N763" s="2"/>
      <c r="O763" s="2"/>
    </row>
    <row r="764">
      <c r="N764" s="2"/>
      <c r="O764" s="2"/>
    </row>
    <row r="765">
      <c r="N765" s="2"/>
      <c r="O765" s="2"/>
    </row>
    <row r="766">
      <c r="N766" s="2"/>
      <c r="O766" s="2"/>
    </row>
    <row r="767">
      <c r="N767" s="2"/>
      <c r="O767" s="2"/>
    </row>
    <row r="768">
      <c r="N768" s="2"/>
      <c r="O768" s="2"/>
    </row>
    <row r="769">
      <c r="N769" s="2"/>
      <c r="O769" s="2"/>
    </row>
    <row r="770">
      <c r="N770" s="2"/>
      <c r="O770" s="2"/>
    </row>
    <row r="771">
      <c r="N771" s="2"/>
      <c r="O771" s="2"/>
    </row>
    <row r="772">
      <c r="N772" s="2"/>
      <c r="O772" s="2"/>
    </row>
    <row r="773">
      <c r="N773" s="2"/>
      <c r="O773" s="2"/>
    </row>
    <row r="774">
      <c r="N774" s="2"/>
      <c r="O774" s="2"/>
    </row>
    <row r="775">
      <c r="N775" s="2"/>
      <c r="O775" s="2"/>
    </row>
    <row r="776">
      <c r="N776" s="2"/>
      <c r="O776" s="2"/>
    </row>
    <row r="777">
      <c r="N777" s="2"/>
      <c r="O777" s="2"/>
    </row>
    <row r="778">
      <c r="N778" s="2"/>
      <c r="O778" s="2"/>
    </row>
    <row r="779">
      <c r="N779" s="2"/>
      <c r="O779" s="2"/>
    </row>
    <row r="780">
      <c r="N780" s="2"/>
      <c r="O780" s="2"/>
    </row>
    <row r="781">
      <c r="N781" s="2"/>
      <c r="O781" s="2"/>
    </row>
    <row r="782">
      <c r="N782" s="2"/>
      <c r="O782" s="2"/>
    </row>
    <row r="783">
      <c r="N783" s="2"/>
      <c r="O783" s="2"/>
    </row>
    <row r="784">
      <c r="N784" s="2"/>
      <c r="O784" s="2"/>
    </row>
    <row r="785">
      <c r="N785" s="2"/>
      <c r="O785" s="2"/>
    </row>
    <row r="786">
      <c r="N786" s="2"/>
      <c r="O786" s="2"/>
    </row>
    <row r="787">
      <c r="N787" s="2"/>
      <c r="O787" s="2"/>
    </row>
    <row r="788">
      <c r="N788" s="2"/>
      <c r="O788" s="2"/>
    </row>
    <row r="789">
      <c r="N789" s="2"/>
      <c r="O789" s="2"/>
    </row>
    <row r="790">
      <c r="N790" s="2"/>
      <c r="O790" s="2"/>
    </row>
    <row r="791">
      <c r="N791" s="2"/>
      <c r="O791" s="2"/>
    </row>
    <row r="792">
      <c r="N792" s="2"/>
      <c r="O792" s="2"/>
    </row>
    <row r="793">
      <c r="N793" s="2"/>
      <c r="O793" s="2"/>
    </row>
    <row r="794">
      <c r="N794" s="2"/>
      <c r="O794" s="2"/>
    </row>
    <row r="795">
      <c r="N795" s="2"/>
      <c r="O795" s="2"/>
    </row>
    <row r="796">
      <c r="N796" s="2"/>
      <c r="O796" s="2"/>
    </row>
    <row r="797">
      <c r="N797" s="2"/>
      <c r="O797" s="2"/>
    </row>
    <row r="798">
      <c r="N798" s="2"/>
      <c r="O798" s="2"/>
    </row>
    <row r="799">
      <c r="N799" s="2"/>
      <c r="O799" s="2"/>
    </row>
    <row r="800">
      <c r="N800" s="2"/>
      <c r="O800" s="2"/>
    </row>
    <row r="801">
      <c r="N801" s="2"/>
      <c r="O801" s="2"/>
    </row>
    <row r="802">
      <c r="N802" s="2"/>
      <c r="O802" s="2"/>
    </row>
    <row r="803">
      <c r="N803" s="2"/>
      <c r="O803" s="2"/>
    </row>
    <row r="804">
      <c r="N804" s="2"/>
      <c r="O804" s="2"/>
    </row>
    <row r="805">
      <c r="N805" s="2"/>
      <c r="O805" s="2"/>
    </row>
    <row r="806">
      <c r="N806" s="2"/>
      <c r="O806" s="2"/>
    </row>
    <row r="807">
      <c r="N807" s="2"/>
      <c r="O807" s="2"/>
    </row>
    <row r="808">
      <c r="N808" s="2"/>
      <c r="O808" s="2"/>
    </row>
    <row r="809">
      <c r="N809" s="2"/>
      <c r="O809" s="2"/>
    </row>
    <row r="810">
      <c r="N810" s="2"/>
      <c r="O810" s="2"/>
    </row>
    <row r="811">
      <c r="N811" s="2"/>
      <c r="O811" s="2"/>
    </row>
    <row r="812">
      <c r="N812" s="2"/>
      <c r="O812" s="2"/>
    </row>
    <row r="813">
      <c r="N813" s="2"/>
      <c r="O813" s="2"/>
    </row>
    <row r="814">
      <c r="N814" s="2"/>
      <c r="O814" s="2"/>
    </row>
    <row r="815">
      <c r="N815" s="2"/>
      <c r="O815" s="2"/>
    </row>
    <row r="816">
      <c r="N816" s="2"/>
      <c r="O816" s="2"/>
    </row>
    <row r="817">
      <c r="N817" s="2"/>
      <c r="O817" s="2"/>
    </row>
    <row r="818">
      <c r="N818" s="2"/>
      <c r="O818" s="2"/>
    </row>
    <row r="819">
      <c r="N819" s="2"/>
      <c r="O819" s="2"/>
    </row>
    <row r="820">
      <c r="N820" s="2"/>
      <c r="O820" s="2"/>
    </row>
    <row r="821">
      <c r="N821" s="2"/>
      <c r="O821" s="2"/>
    </row>
    <row r="822">
      <c r="N822" s="2"/>
      <c r="O822" s="2"/>
    </row>
    <row r="823">
      <c r="N823" s="2"/>
      <c r="O823" s="2"/>
    </row>
    <row r="824">
      <c r="N824" s="2"/>
      <c r="O824" s="2"/>
    </row>
    <row r="825">
      <c r="N825" s="2"/>
      <c r="O825" s="2"/>
    </row>
    <row r="826">
      <c r="N826" s="2"/>
      <c r="O826" s="2"/>
    </row>
    <row r="827">
      <c r="N827" s="2"/>
      <c r="O827" s="2"/>
    </row>
    <row r="828">
      <c r="N828" s="2"/>
      <c r="O828" s="2"/>
    </row>
    <row r="829">
      <c r="N829" s="2"/>
      <c r="O829" s="2"/>
    </row>
    <row r="830">
      <c r="N830" s="2"/>
      <c r="O830" s="2"/>
    </row>
    <row r="831">
      <c r="N831" s="2"/>
      <c r="O831" s="2"/>
    </row>
    <row r="832">
      <c r="N832" s="2"/>
      <c r="O832" s="2"/>
    </row>
    <row r="833">
      <c r="N833" s="2"/>
      <c r="O833" s="2"/>
    </row>
    <row r="834">
      <c r="N834" s="2"/>
      <c r="O834" s="2"/>
    </row>
    <row r="835">
      <c r="N835" s="2"/>
      <c r="O835" s="2"/>
    </row>
    <row r="836">
      <c r="N836" s="2"/>
      <c r="O836" s="2"/>
    </row>
    <row r="837">
      <c r="N837" s="2"/>
      <c r="O837" s="2"/>
    </row>
    <row r="838">
      <c r="N838" s="2"/>
      <c r="O838" s="2"/>
    </row>
    <row r="839">
      <c r="N839" s="2"/>
      <c r="O839" s="2"/>
    </row>
    <row r="840">
      <c r="N840" s="2"/>
      <c r="O840" s="2"/>
    </row>
    <row r="841">
      <c r="N841" s="2"/>
      <c r="O841" s="2"/>
    </row>
    <row r="842">
      <c r="N842" s="2"/>
      <c r="O842" s="2"/>
    </row>
    <row r="843">
      <c r="N843" s="2"/>
      <c r="O843" s="2"/>
    </row>
    <row r="844">
      <c r="N844" s="2"/>
      <c r="O844" s="2"/>
    </row>
    <row r="845">
      <c r="N845" s="2"/>
      <c r="O845" s="2"/>
    </row>
    <row r="846">
      <c r="N846" s="2"/>
      <c r="O846" s="2"/>
    </row>
    <row r="847">
      <c r="N847" s="2"/>
      <c r="O847" s="2"/>
    </row>
    <row r="848">
      <c r="N848" s="2"/>
      <c r="O848" s="2"/>
    </row>
    <row r="849">
      <c r="N849" s="2"/>
      <c r="O849" s="2"/>
    </row>
    <row r="850">
      <c r="N850" s="2"/>
      <c r="O850" s="2"/>
    </row>
    <row r="851">
      <c r="N851" s="2"/>
      <c r="O851" s="2"/>
    </row>
    <row r="852">
      <c r="N852" s="2"/>
      <c r="O852" s="2"/>
    </row>
    <row r="853">
      <c r="N853" s="2"/>
      <c r="O853" s="2"/>
    </row>
    <row r="854">
      <c r="N854" s="2"/>
      <c r="O854" s="2"/>
    </row>
    <row r="855">
      <c r="N855" s="2"/>
      <c r="O855" s="2"/>
    </row>
    <row r="856">
      <c r="N856" s="2"/>
      <c r="O856" s="2"/>
    </row>
    <row r="857">
      <c r="N857" s="2"/>
      <c r="O857" s="2"/>
    </row>
    <row r="858">
      <c r="N858" s="2"/>
      <c r="O858" s="2"/>
    </row>
    <row r="859">
      <c r="N859" s="2"/>
      <c r="O859" s="2"/>
    </row>
    <row r="860">
      <c r="N860" s="2"/>
      <c r="O860" s="2"/>
    </row>
    <row r="861">
      <c r="N861" s="2"/>
      <c r="O861" s="2"/>
    </row>
    <row r="862">
      <c r="N862" s="2"/>
      <c r="O862" s="2"/>
    </row>
    <row r="863">
      <c r="N863" s="2"/>
      <c r="O863" s="2"/>
    </row>
    <row r="864">
      <c r="N864" s="2"/>
      <c r="O864" s="2"/>
    </row>
    <row r="865">
      <c r="N865" s="2"/>
      <c r="O865" s="2"/>
    </row>
    <row r="866">
      <c r="N866" s="2"/>
      <c r="O866" s="2"/>
    </row>
    <row r="867">
      <c r="N867" s="2"/>
      <c r="O867" s="2"/>
    </row>
    <row r="868">
      <c r="N868" s="2"/>
      <c r="O868" s="2"/>
    </row>
    <row r="869">
      <c r="N869" s="2"/>
      <c r="O869" s="2"/>
    </row>
    <row r="870">
      <c r="N870" s="2"/>
      <c r="O870" s="2"/>
    </row>
    <row r="871">
      <c r="N871" s="2"/>
      <c r="O871" s="2"/>
    </row>
    <row r="872">
      <c r="N872" s="2"/>
      <c r="O872" s="2"/>
    </row>
    <row r="873">
      <c r="N873" s="2"/>
      <c r="O873" s="2"/>
    </row>
    <row r="874">
      <c r="N874" s="2"/>
      <c r="O874" s="2"/>
    </row>
    <row r="875">
      <c r="N875" s="2"/>
      <c r="O875" s="2"/>
    </row>
    <row r="876">
      <c r="N876" s="2"/>
      <c r="O876" s="2"/>
    </row>
    <row r="877">
      <c r="N877" s="2"/>
      <c r="O877" s="2"/>
    </row>
    <row r="878">
      <c r="N878" s="2"/>
      <c r="O878" s="2"/>
    </row>
    <row r="879">
      <c r="N879" s="2"/>
      <c r="O879" s="2"/>
    </row>
    <row r="880">
      <c r="N880" s="2"/>
      <c r="O880" s="2"/>
    </row>
    <row r="881">
      <c r="N881" s="2"/>
      <c r="O881" s="2"/>
    </row>
    <row r="882">
      <c r="N882" s="2"/>
      <c r="O882" s="2"/>
    </row>
    <row r="883">
      <c r="N883" s="2"/>
      <c r="O883" s="2"/>
    </row>
    <row r="884">
      <c r="N884" s="2"/>
      <c r="O884" s="2"/>
    </row>
    <row r="885">
      <c r="N885" s="2"/>
      <c r="O885" s="2"/>
    </row>
    <row r="886">
      <c r="N886" s="2"/>
      <c r="O886" s="2"/>
    </row>
    <row r="887">
      <c r="N887" s="2"/>
      <c r="O887" s="2"/>
    </row>
    <row r="888">
      <c r="N888" s="2"/>
      <c r="O888" s="2"/>
    </row>
    <row r="889">
      <c r="N889" s="2"/>
      <c r="O889" s="2"/>
    </row>
    <row r="890">
      <c r="N890" s="2"/>
      <c r="O890" s="2"/>
    </row>
    <row r="891">
      <c r="N891" s="2"/>
      <c r="O891" s="2"/>
    </row>
    <row r="892">
      <c r="N892" s="2"/>
      <c r="O892" s="2"/>
    </row>
    <row r="893">
      <c r="N893" s="2"/>
      <c r="O893" s="2"/>
    </row>
    <row r="894">
      <c r="N894" s="2"/>
      <c r="O894" s="2"/>
    </row>
    <row r="895">
      <c r="N895" s="2"/>
      <c r="O895" s="2"/>
    </row>
    <row r="896">
      <c r="N896" s="2"/>
      <c r="O896" s="2"/>
    </row>
    <row r="897">
      <c r="N897" s="2"/>
      <c r="O897" s="2"/>
    </row>
    <row r="898">
      <c r="N898" s="2"/>
      <c r="O898" s="2"/>
    </row>
    <row r="899">
      <c r="N899" s="2"/>
      <c r="O899" s="2"/>
    </row>
    <row r="900">
      <c r="N900" s="2"/>
      <c r="O900" s="2"/>
    </row>
    <row r="901">
      <c r="N901" s="2"/>
      <c r="O901" s="2"/>
    </row>
    <row r="902">
      <c r="N902" s="2"/>
      <c r="O902" s="2"/>
    </row>
    <row r="903">
      <c r="N903" s="2"/>
      <c r="O903" s="2"/>
    </row>
    <row r="904">
      <c r="N904" s="2"/>
      <c r="O904" s="2"/>
    </row>
    <row r="905">
      <c r="N905" s="2"/>
      <c r="O905" s="2"/>
    </row>
    <row r="906">
      <c r="N906" s="2"/>
      <c r="O906" s="2"/>
    </row>
    <row r="907">
      <c r="N907" s="2"/>
      <c r="O907" s="2"/>
    </row>
    <row r="908">
      <c r="N908" s="2"/>
      <c r="O908" s="2"/>
    </row>
    <row r="909">
      <c r="N909" s="2"/>
      <c r="O909" s="2"/>
    </row>
    <row r="910">
      <c r="N910" s="2"/>
      <c r="O910" s="2"/>
    </row>
    <row r="911">
      <c r="N911" s="2"/>
      <c r="O911" s="2"/>
    </row>
    <row r="912">
      <c r="N912" s="2"/>
      <c r="O912" s="2"/>
    </row>
    <row r="913">
      <c r="N913" s="2"/>
      <c r="O913" s="2"/>
    </row>
    <row r="914">
      <c r="N914" s="2"/>
      <c r="O914" s="2"/>
    </row>
    <row r="915">
      <c r="N915" s="2"/>
      <c r="O915" s="2"/>
    </row>
    <row r="916">
      <c r="N916" s="2"/>
      <c r="O916" s="2"/>
    </row>
    <row r="917">
      <c r="N917" s="2"/>
      <c r="O917" s="2"/>
    </row>
    <row r="918">
      <c r="N918" s="2"/>
      <c r="O918" s="2"/>
    </row>
    <row r="919">
      <c r="N919" s="2"/>
      <c r="O919" s="2"/>
    </row>
    <row r="920">
      <c r="N920" s="2"/>
      <c r="O920" s="2"/>
    </row>
    <row r="921">
      <c r="N921" s="2"/>
      <c r="O921" s="2"/>
    </row>
    <row r="922">
      <c r="N922" s="2"/>
      <c r="O922" s="2"/>
    </row>
    <row r="923">
      <c r="N923" s="2"/>
      <c r="O923" s="2"/>
    </row>
    <row r="924">
      <c r="N924" s="2"/>
      <c r="O924" s="2"/>
    </row>
    <row r="925">
      <c r="N925" s="2"/>
      <c r="O925" s="2"/>
    </row>
    <row r="926">
      <c r="N926" s="2"/>
      <c r="O926" s="2"/>
    </row>
    <row r="927">
      <c r="N927" s="2"/>
      <c r="O927" s="2"/>
    </row>
    <row r="928">
      <c r="N928" s="2"/>
      <c r="O928" s="2"/>
    </row>
    <row r="929">
      <c r="N929" s="2"/>
      <c r="O929" s="2"/>
    </row>
    <row r="930">
      <c r="N930" s="2"/>
      <c r="O930" s="2"/>
    </row>
    <row r="931">
      <c r="N931" s="2"/>
      <c r="O931" s="2"/>
    </row>
    <row r="932">
      <c r="N932" s="2"/>
      <c r="O932" s="2"/>
    </row>
    <row r="933">
      <c r="N933" s="2"/>
      <c r="O933" s="2"/>
    </row>
    <row r="934">
      <c r="N934" s="2"/>
      <c r="O934" s="2"/>
    </row>
    <row r="935">
      <c r="N935" s="2"/>
      <c r="O935" s="2"/>
    </row>
    <row r="936">
      <c r="N936" s="2"/>
      <c r="O936" s="2"/>
    </row>
    <row r="937">
      <c r="N937" s="2"/>
      <c r="O937" s="2"/>
    </row>
    <row r="938">
      <c r="N938" s="2"/>
      <c r="O938" s="2"/>
    </row>
    <row r="939">
      <c r="N939" s="2"/>
      <c r="O939" s="2"/>
    </row>
    <row r="940">
      <c r="N940" s="2"/>
      <c r="O940" s="2"/>
    </row>
    <row r="941">
      <c r="N941" s="2"/>
      <c r="O941" s="2"/>
    </row>
    <row r="942">
      <c r="N942" s="2"/>
      <c r="O942" s="2"/>
    </row>
    <row r="943">
      <c r="N943" s="2"/>
      <c r="O943" s="2"/>
    </row>
    <row r="944">
      <c r="N944" s="2"/>
      <c r="O944" s="2"/>
    </row>
    <row r="945">
      <c r="N945" s="2"/>
      <c r="O945" s="2"/>
    </row>
    <row r="946">
      <c r="N946" s="2"/>
      <c r="O946" s="2"/>
    </row>
    <row r="947">
      <c r="N947" s="2"/>
      <c r="O947" s="2"/>
    </row>
    <row r="948">
      <c r="N948" s="2"/>
      <c r="O948" s="2"/>
    </row>
    <row r="949">
      <c r="N949" s="2"/>
      <c r="O949" s="2"/>
    </row>
    <row r="950">
      <c r="N950" s="2"/>
      <c r="O950" s="2"/>
    </row>
    <row r="951">
      <c r="N951" s="2"/>
      <c r="O951" s="2"/>
    </row>
    <row r="952">
      <c r="N952" s="2"/>
      <c r="O952" s="2"/>
    </row>
    <row r="953">
      <c r="N953" s="2"/>
      <c r="O953" s="2"/>
    </row>
    <row r="954">
      <c r="N954" s="2"/>
      <c r="O954" s="2"/>
    </row>
    <row r="955">
      <c r="N955" s="2"/>
      <c r="O955" s="2"/>
    </row>
    <row r="956">
      <c r="N956" s="2"/>
      <c r="O956" s="2"/>
    </row>
    <row r="957">
      <c r="N957" s="2"/>
      <c r="O957" s="2"/>
    </row>
    <row r="958">
      <c r="N958" s="2"/>
      <c r="O958" s="2"/>
    </row>
    <row r="959">
      <c r="N959" s="2"/>
      <c r="O959" s="2"/>
    </row>
    <row r="960">
      <c r="N960" s="2"/>
      <c r="O960" s="2"/>
    </row>
    <row r="961">
      <c r="N961" s="2"/>
      <c r="O961" s="2"/>
    </row>
    <row r="962">
      <c r="N962" s="2"/>
      <c r="O962" s="2"/>
    </row>
    <row r="963">
      <c r="N963" s="2"/>
      <c r="O963" s="2"/>
    </row>
    <row r="964">
      <c r="N964" s="2"/>
      <c r="O964" s="2"/>
    </row>
    <row r="965">
      <c r="N965" s="2"/>
      <c r="O965" s="2"/>
    </row>
    <row r="966">
      <c r="N966" s="2"/>
      <c r="O966" s="2"/>
    </row>
    <row r="967">
      <c r="N967" s="2"/>
      <c r="O967" s="2"/>
    </row>
    <row r="968">
      <c r="N968" s="2"/>
      <c r="O968" s="2"/>
    </row>
    <row r="969">
      <c r="N969" s="2"/>
      <c r="O969" s="2"/>
    </row>
    <row r="970">
      <c r="N970" s="2"/>
      <c r="O970" s="2"/>
    </row>
    <row r="971">
      <c r="N971" s="2"/>
      <c r="O971" s="2"/>
    </row>
    <row r="972">
      <c r="N972" s="2"/>
      <c r="O972" s="2"/>
    </row>
    <row r="973">
      <c r="N973" s="2"/>
      <c r="O973" s="2"/>
    </row>
    <row r="974">
      <c r="N974" s="2"/>
      <c r="O974" s="2"/>
    </row>
    <row r="975">
      <c r="N975" s="2"/>
      <c r="O975" s="2"/>
    </row>
    <row r="976">
      <c r="N976" s="2"/>
      <c r="O976" s="2"/>
    </row>
    <row r="977">
      <c r="N977" s="2"/>
      <c r="O977" s="2"/>
    </row>
    <row r="978">
      <c r="N978" s="2"/>
      <c r="O978" s="2"/>
    </row>
    <row r="979">
      <c r="N979" s="2"/>
      <c r="O979" s="2"/>
    </row>
    <row r="980">
      <c r="N980" s="2"/>
      <c r="O980" s="2"/>
    </row>
    <row r="981">
      <c r="N981" s="2"/>
      <c r="O981" s="2"/>
    </row>
    <row r="982">
      <c r="N982" s="2"/>
      <c r="O982" s="2"/>
    </row>
    <row r="983">
      <c r="N983" s="2"/>
      <c r="O983" s="2"/>
    </row>
    <row r="984">
      <c r="N984" s="2"/>
      <c r="O984" s="2"/>
    </row>
    <row r="985">
      <c r="N985" s="2"/>
      <c r="O985" s="2"/>
    </row>
    <row r="986">
      <c r="N986" s="2"/>
      <c r="O986" s="2"/>
    </row>
    <row r="987">
      <c r="N987" s="2"/>
      <c r="O987" s="2"/>
    </row>
    <row r="988">
      <c r="N988" s="2"/>
      <c r="O988" s="2"/>
    </row>
    <row r="989">
      <c r="N989" s="2"/>
      <c r="O989" s="2"/>
    </row>
    <row r="990">
      <c r="N990" s="2"/>
      <c r="O990" s="2"/>
    </row>
    <row r="991">
      <c r="N991" s="2"/>
      <c r="O991" s="2"/>
    </row>
    <row r="992">
      <c r="N992" s="2"/>
      <c r="O992" s="2"/>
    </row>
    <row r="993">
      <c r="N993" s="2"/>
      <c r="O993" s="2"/>
    </row>
    <row r="994">
      <c r="N994" s="2"/>
      <c r="O994" s="2"/>
    </row>
    <row r="995">
      <c r="N995" s="2"/>
      <c r="O995" s="2"/>
    </row>
    <row r="996">
      <c r="N996" s="2"/>
      <c r="O996" s="2"/>
    </row>
    <row r="997">
      <c r="N997" s="2"/>
      <c r="O997" s="2"/>
    </row>
    <row r="998">
      <c r="N998" s="2"/>
      <c r="O998" s="2"/>
    </row>
    <row r="999">
      <c r="N999" s="2"/>
      <c r="O999" s="2"/>
    </row>
    <row r="1000">
      <c r="N1000" s="2"/>
      <c r="O1000" s="2"/>
    </row>
  </sheetData>
  <mergeCells count="287">
    <mergeCell ref="A8:B8"/>
    <mergeCell ref="A9:B9"/>
    <mergeCell ref="E9:G9"/>
    <mergeCell ref="H9:I9"/>
    <mergeCell ref="J9:K9"/>
    <mergeCell ref="L9:M9"/>
    <mergeCell ref="A10:B10"/>
    <mergeCell ref="A11:I11"/>
    <mergeCell ref="J11:K11"/>
    <mergeCell ref="L11:M11"/>
    <mergeCell ref="E12:G12"/>
    <mergeCell ref="H12:I12"/>
    <mergeCell ref="J12:K12"/>
    <mergeCell ref="L12:M12"/>
    <mergeCell ref="I5:J5"/>
    <mergeCell ref="M5:N5"/>
    <mergeCell ref="A1:N1"/>
    <mergeCell ref="B3:E3"/>
    <mergeCell ref="G3:H3"/>
    <mergeCell ref="I3:J3"/>
    <mergeCell ref="M3:N3"/>
    <mergeCell ref="B5:E5"/>
    <mergeCell ref="G5:H5"/>
    <mergeCell ref="H8:I8"/>
    <mergeCell ref="J8:K8"/>
    <mergeCell ref="A7:B7"/>
    <mergeCell ref="E7:G7"/>
    <mergeCell ref="H7:I7"/>
    <mergeCell ref="J7:K7"/>
    <mergeCell ref="L7:M7"/>
    <mergeCell ref="E8:G8"/>
    <mergeCell ref="L8:M8"/>
    <mergeCell ref="E10:G10"/>
    <mergeCell ref="H10:I10"/>
    <mergeCell ref="J10:K10"/>
    <mergeCell ref="L10:M10"/>
    <mergeCell ref="J14:K14"/>
    <mergeCell ref="L14:M14"/>
    <mergeCell ref="H24:I24"/>
    <mergeCell ref="J24:K24"/>
    <mergeCell ref="E22:G22"/>
    <mergeCell ref="H22:I22"/>
    <mergeCell ref="A23:I23"/>
    <mergeCell ref="J23:K23"/>
    <mergeCell ref="L23:M23"/>
    <mergeCell ref="E24:G24"/>
    <mergeCell ref="L24:M24"/>
    <mergeCell ref="E26:G26"/>
    <mergeCell ref="H26:I26"/>
    <mergeCell ref="A24:B24"/>
    <mergeCell ref="A25:B25"/>
    <mergeCell ref="E25:G25"/>
    <mergeCell ref="H25:I25"/>
    <mergeCell ref="J25:K25"/>
    <mergeCell ref="L25:M25"/>
    <mergeCell ref="A26:B26"/>
    <mergeCell ref="H28:I28"/>
    <mergeCell ref="J28:K28"/>
    <mergeCell ref="J26:K26"/>
    <mergeCell ref="L26:M26"/>
    <mergeCell ref="A27:I27"/>
    <mergeCell ref="J27:K27"/>
    <mergeCell ref="L27:M27"/>
    <mergeCell ref="E28:G28"/>
    <mergeCell ref="L28:M28"/>
    <mergeCell ref="E30:G30"/>
    <mergeCell ref="H30:I30"/>
    <mergeCell ref="A28:B28"/>
    <mergeCell ref="A29:B29"/>
    <mergeCell ref="E29:G29"/>
    <mergeCell ref="H29:I29"/>
    <mergeCell ref="J29:K29"/>
    <mergeCell ref="L29:M29"/>
    <mergeCell ref="A30:B30"/>
    <mergeCell ref="H32:I32"/>
    <mergeCell ref="J32:K32"/>
    <mergeCell ref="J30:K30"/>
    <mergeCell ref="L30:M30"/>
    <mergeCell ref="A31:I31"/>
    <mergeCell ref="J31:K31"/>
    <mergeCell ref="L31:M31"/>
    <mergeCell ref="E32:G32"/>
    <mergeCell ref="L32:M32"/>
    <mergeCell ref="A19:I19"/>
    <mergeCell ref="J19:K19"/>
    <mergeCell ref="L19:M19"/>
    <mergeCell ref="E20:G20"/>
    <mergeCell ref="H20:I20"/>
    <mergeCell ref="J20:K20"/>
    <mergeCell ref="L20:M20"/>
    <mergeCell ref="J22:K22"/>
    <mergeCell ref="L22:M22"/>
    <mergeCell ref="A20:B20"/>
    <mergeCell ref="A21:B21"/>
    <mergeCell ref="E21:G21"/>
    <mergeCell ref="H21:I21"/>
    <mergeCell ref="J21:K21"/>
    <mergeCell ref="L21:M21"/>
    <mergeCell ref="A22:B22"/>
    <mergeCell ref="E14:G14"/>
    <mergeCell ref="H14:I14"/>
    <mergeCell ref="A12:B12"/>
    <mergeCell ref="A13:B13"/>
    <mergeCell ref="E13:G13"/>
    <mergeCell ref="H13:I13"/>
    <mergeCell ref="J13:K13"/>
    <mergeCell ref="L13:M13"/>
    <mergeCell ref="A14:B14"/>
    <mergeCell ref="A15:I15"/>
    <mergeCell ref="J15:K15"/>
    <mergeCell ref="L15:M15"/>
    <mergeCell ref="E16:G16"/>
    <mergeCell ref="H16:I16"/>
    <mergeCell ref="J16:K16"/>
    <mergeCell ref="L16:M16"/>
    <mergeCell ref="E18:G18"/>
    <mergeCell ref="H18:I18"/>
    <mergeCell ref="J18:K18"/>
    <mergeCell ref="L18:M18"/>
    <mergeCell ref="A16:B16"/>
    <mergeCell ref="A17:B17"/>
    <mergeCell ref="E17:G17"/>
    <mergeCell ref="H17:I17"/>
    <mergeCell ref="J17:K17"/>
    <mergeCell ref="L17:M17"/>
    <mergeCell ref="A18:B18"/>
    <mergeCell ref="J46:K46"/>
    <mergeCell ref="L46:M46"/>
    <mergeCell ref="A51:I51"/>
    <mergeCell ref="J51:K51"/>
    <mergeCell ref="L51:M51"/>
    <mergeCell ref="E52:G52"/>
    <mergeCell ref="H52:I52"/>
    <mergeCell ref="J52:K52"/>
    <mergeCell ref="L52:M52"/>
    <mergeCell ref="J54:K54"/>
    <mergeCell ref="L54:M54"/>
    <mergeCell ref="A52:B52"/>
    <mergeCell ref="A53:B53"/>
    <mergeCell ref="E53:G53"/>
    <mergeCell ref="H53:I53"/>
    <mergeCell ref="J53:K53"/>
    <mergeCell ref="L53:M53"/>
    <mergeCell ref="A54:B54"/>
    <mergeCell ref="J58:K58"/>
    <mergeCell ref="L58:M58"/>
    <mergeCell ref="A56:B56"/>
    <mergeCell ref="A57:B57"/>
    <mergeCell ref="E57:G57"/>
    <mergeCell ref="H57:I57"/>
    <mergeCell ref="J57:K57"/>
    <mergeCell ref="L57:M57"/>
    <mergeCell ref="A58:I58"/>
    <mergeCell ref="E46:G46"/>
    <mergeCell ref="H46:I46"/>
    <mergeCell ref="A44:B44"/>
    <mergeCell ref="A45:B45"/>
    <mergeCell ref="E45:G45"/>
    <mergeCell ref="H45:I45"/>
    <mergeCell ref="J45:K45"/>
    <mergeCell ref="L45:M45"/>
    <mergeCell ref="A46:B46"/>
    <mergeCell ref="A47:I47"/>
    <mergeCell ref="J47:K47"/>
    <mergeCell ref="L47:M47"/>
    <mergeCell ref="E48:G48"/>
    <mergeCell ref="H48:I48"/>
    <mergeCell ref="J48:K48"/>
    <mergeCell ref="L48:M48"/>
    <mergeCell ref="E50:G50"/>
    <mergeCell ref="H50:I50"/>
    <mergeCell ref="J50:K50"/>
    <mergeCell ref="L50:M50"/>
    <mergeCell ref="A48:B48"/>
    <mergeCell ref="A49:B49"/>
    <mergeCell ref="E49:G49"/>
    <mergeCell ref="H49:I49"/>
    <mergeCell ref="J49:K49"/>
    <mergeCell ref="L49:M49"/>
    <mergeCell ref="A50:B50"/>
    <mergeCell ref="H60:I60"/>
    <mergeCell ref="J60:K60"/>
    <mergeCell ref="E60:G60"/>
    <mergeCell ref="A61:I61"/>
    <mergeCell ref="J61:K61"/>
    <mergeCell ref="L61:M61"/>
    <mergeCell ref="A62:B62"/>
    <mergeCell ref="H62:I62"/>
    <mergeCell ref="L63:M63"/>
    <mergeCell ref="A63:B63"/>
    <mergeCell ref="A64:I64"/>
    <mergeCell ref="J64:K64"/>
    <mergeCell ref="L64:M64"/>
    <mergeCell ref="A65:B65"/>
    <mergeCell ref="H65:I65"/>
    <mergeCell ref="A66:B66"/>
    <mergeCell ref="L66:M66"/>
    <mergeCell ref="A59:B59"/>
    <mergeCell ref="E59:G59"/>
    <mergeCell ref="H59:I59"/>
    <mergeCell ref="J59:K59"/>
    <mergeCell ref="L59:M59"/>
    <mergeCell ref="A60:B60"/>
    <mergeCell ref="L60:M60"/>
    <mergeCell ref="J62:K62"/>
    <mergeCell ref="L62:M62"/>
    <mergeCell ref="E62:G62"/>
    <mergeCell ref="E63:G63"/>
    <mergeCell ref="H63:I63"/>
    <mergeCell ref="J63:K63"/>
    <mergeCell ref="J65:K65"/>
    <mergeCell ref="L65:M65"/>
    <mergeCell ref="E65:G65"/>
    <mergeCell ref="E66:G66"/>
    <mergeCell ref="H68:I68"/>
    <mergeCell ref="J68:K68"/>
    <mergeCell ref="H66:I66"/>
    <mergeCell ref="J66:K66"/>
    <mergeCell ref="A67:I67"/>
    <mergeCell ref="J67:K67"/>
    <mergeCell ref="L67:M67"/>
    <mergeCell ref="A68:B68"/>
    <mergeCell ref="E68:G68"/>
    <mergeCell ref="L68:M68"/>
    <mergeCell ref="E34:G34"/>
    <mergeCell ref="H34:I34"/>
    <mergeCell ref="A32:B32"/>
    <mergeCell ref="A33:B33"/>
    <mergeCell ref="E33:G33"/>
    <mergeCell ref="H33:I33"/>
    <mergeCell ref="J33:K33"/>
    <mergeCell ref="L33:M33"/>
    <mergeCell ref="A34:B34"/>
    <mergeCell ref="H36:I36"/>
    <mergeCell ref="J36:K36"/>
    <mergeCell ref="J34:K34"/>
    <mergeCell ref="L34:M34"/>
    <mergeCell ref="A35:I35"/>
    <mergeCell ref="J35:K35"/>
    <mergeCell ref="L35:M35"/>
    <mergeCell ref="E36:G36"/>
    <mergeCell ref="L36:M36"/>
    <mergeCell ref="E38:G38"/>
    <mergeCell ref="H38:I38"/>
    <mergeCell ref="A36:B36"/>
    <mergeCell ref="A37:B37"/>
    <mergeCell ref="E37:G37"/>
    <mergeCell ref="H37:I37"/>
    <mergeCell ref="J37:K37"/>
    <mergeCell ref="L37:M37"/>
    <mergeCell ref="A38:B38"/>
    <mergeCell ref="H40:I40"/>
    <mergeCell ref="J40:K40"/>
    <mergeCell ref="J38:K38"/>
    <mergeCell ref="L38:M38"/>
    <mergeCell ref="A39:I39"/>
    <mergeCell ref="J39:K39"/>
    <mergeCell ref="L39:M39"/>
    <mergeCell ref="E40:G40"/>
    <mergeCell ref="L40:M40"/>
    <mergeCell ref="E42:G42"/>
    <mergeCell ref="H42:I42"/>
    <mergeCell ref="A40:B40"/>
    <mergeCell ref="A41:B41"/>
    <mergeCell ref="E41:G41"/>
    <mergeCell ref="H41:I41"/>
    <mergeCell ref="J41:K41"/>
    <mergeCell ref="L41:M41"/>
    <mergeCell ref="A42:B42"/>
    <mergeCell ref="H44:I44"/>
    <mergeCell ref="J44:K44"/>
    <mergeCell ref="J42:K42"/>
    <mergeCell ref="L42:M42"/>
    <mergeCell ref="A43:I43"/>
    <mergeCell ref="J43:K43"/>
    <mergeCell ref="L43:M43"/>
    <mergeCell ref="E44:G44"/>
    <mergeCell ref="L44:M44"/>
    <mergeCell ref="H56:I56"/>
    <mergeCell ref="J56:K56"/>
    <mergeCell ref="E54:G54"/>
    <mergeCell ref="H54:I54"/>
    <mergeCell ref="A55:I55"/>
    <mergeCell ref="J55:K55"/>
    <mergeCell ref="L55:M55"/>
    <mergeCell ref="E56:G56"/>
    <mergeCell ref="L56:M5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9.38"/>
    <col customWidth="1" min="4" max="4" width="19.0"/>
  </cols>
  <sheetData>
    <row r="1">
      <c r="A1" s="24" t="s">
        <v>88</v>
      </c>
      <c r="B1" s="24" t="s">
        <v>89</v>
      </c>
      <c r="C1" s="24" t="s">
        <v>90</v>
      </c>
      <c r="D1" s="25" t="s">
        <v>91</v>
      </c>
      <c r="E1" s="26" t="s">
        <v>92</v>
      </c>
    </row>
    <row r="2">
      <c r="A2" s="27" t="s">
        <v>93</v>
      </c>
      <c r="B2" s="27">
        <v>3.0</v>
      </c>
      <c r="C2" s="28">
        <f>if(sum(Dairy_Petrol!H17:H20)=0,0,round(Dairy_Petrol!J17,2))</f>
        <v>44.48</v>
      </c>
      <c r="D2" s="29">
        <v>44.49</v>
      </c>
      <c r="E2" s="28">
        <f t="shared" ref="E2:E8" si="1">D2-C2</f>
        <v>0.01</v>
      </c>
    </row>
    <row r="3">
      <c r="A3" s="2" t="s">
        <v>94</v>
      </c>
      <c r="B3" s="2">
        <v>9.0</v>
      </c>
      <c r="C3" s="28">
        <f>if(sum(Dairy_Petrol!H41:H42)=0,0,round(Dairy_Petrol!J41,2))</f>
        <v>42.02</v>
      </c>
      <c r="D3" s="29">
        <v>41.69</v>
      </c>
      <c r="E3" s="28">
        <f t="shared" si="1"/>
        <v>-0.33</v>
      </c>
    </row>
    <row r="4">
      <c r="A4" s="2" t="s">
        <v>95</v>
      </c>
      <c r="B4" s="30" t="s">
        <v>96</v>
      </c>
      <c r="C4" s="28">
        <f>round(Dairy_Petrol!J3,2)</f>
        <v>32.49</v>
      </c>
      <c r="D4" s="29">
        <v>32.49</v>
      </c>
      <c r="E4" s="28">
        <f t="shared" si="1"/>
        <v>0</v>
      </c>
    </row>
    <row r="5">
      <c r="A5" s="2" t="s">
        <v>97</v>
      </c>
      <c r="B5" s="2">
        <v>7.0</v>
      </c>
      <c r="C5" s="28">
        <f>round(Dairy_Petrol!J33,2)</f>
        <v>29.44</v>
      </c>
      <c r="D5" s="29">
        <v>29.24</v>
      </c>
      <c r="E5" s="28">
        <f t="shared" si="1"/>
        <v>-0.2</v>
      </c>
    </row>
    <row r="6">
      <c r="A6" s="2" t="s">
        <v>98</v>
      </c>
      <c r="B6" s="30" t="s">
        <v>99</v>
      </c>
      <c r="C6" s="28">
        <f>round(Dairy_Petrol!J23,2)</f>
        <v>31.02</v>
      </c>
      <c r="D6" s="29">
        <v>30.89</v>
      </c>
      <c r="E6" s="28">
        <f t="shared" si="1"/>
        <v>-0.13</v>
      </c>
    </row>
    <row r="7">
      <c r="A7" s="2" t="s">
        <v>100</v>
      </c>
      <c r="B7" s="30" t="s">
        <v>101</v>
      </c>
      <c r="C7" s="28">
        <f>round(Dairy_Petrol!J21,2)</f>
        <v>32.82</v>
      </c>
      <c r="D7" s="29">
        <v>32.73</v>
      </c>
      <c r="E7" s="28">
        <f t="shared" si="1"/>
        <v>-0.09</v>
      </c>
    </row>
    <row r="8">
      <c r="A8" s="2" t="s">
        <v>102</v>
      </c>
      <c r="B8" s="2">
        <v>6.0</v>
      </c>
      <c r="C8" s="28">
        <f>round(Dairy_Petrol!J27,2)</f>
        <v>33.23</v>
      </c>
      <c r="D8" s="29">
        <v>33.1</v>
      </c>
      <c r="E8" s="28">
        <f t="shared" si="1"/>
        <v>-0.13</v>
      </c>
    </row>
    <row r="9">
      <c r="A9" s="31"/>
      <c r="B9" s="31"/>
      <c r="E9" s="32" t="str">
        <f>IF(OR(E4&lt;&gt;0, E5&lt;&gt;0, E6&lt;&gt;0, E7&lt;&gt;0, E8&lt;&gt;0), "ปรับราคา", "")
</f>
        <v>ปรับราคา</v>
      </c>
    </row>
  </sheetData>
  <printOptions gridLines="1" horizontalCentered="1"/>
  <pageMargins bottom="0.75" footer="0.0" header="0.0" left="0.25" right="0.25" top="0.75"/>
  <pageSetup fitToWidth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16.5"/>
  </cols>
  <sheetData>
    <row r="1">
      <c r="A1" s="33"/>
    </row>
    <row r="2">
      <c r="A2" s="34" t="s">
        <v>103</v>
      </c>
      <c r="B2" s="35" t="s">
        <v>104</v>
      </c>
    </row>
    <row r="3">
      <c r="A3" s="36" t="s">
        <v>34</v>
      </c>
      <c r="B3" s="37"/>
    </row>
    <row r="4">
      <c r="A4" s="38" t="s">
        <v>38</v>
      </c>
      <c r="B4" s="39"/>
    </row>
    <row r="5">
      <c r="A5" s="38" t="s">
        <v>51</v>
      </c>
      <c r="B5" s="37"/>
    </row>
    <row r="6">
      <c r="A6" s="38" t="s">
        <v>55</v>
      </c>
      <c r="B6" s="39"/>
    </row>
    <row r="7">
      <c r="A7" s="38" t="s">
        <v>68</v>
      </c>
      <c r="B7" s="37"/>
    </row>
    <row r="8">
      <c r="A8" s="40" t="s">
        <v>72</v>
      </c>
      <c r="B8" s="39"/>
    </row>
    <row r="9">
      <c r="A9" s="36" t="s">
        <v>25</v>
      </c>
      <c r="B9" s="39"/>
    </row>
    <row r="10">
      <c r="A10" s="38" t="s">
        <v>29</v>
      </c>
      <c r="B10" s="39"/>
    </row>
    <row r="11">
      <c r="A11" s="38" t="s">
        <v>43</v>
      </c>
      <c r="B11" s="37"/>
    </row>
    <row r="12">
      <c r="A12" s="38" t="s">
        <v>47</v>
      </c>
      <c r="B12" s="37"/>
    </row>
    <row r="13">
      <c r="A13" s="38" t="s">
        <v>59</v>
      </c>
      <c r="B13" s="37"/>
    </row>
    <row r="14">
      <c r="A14" s="38" t="s">
        <v>63</v>
      </c>
      <c r="B14" s="39"/>
    </row>
    <row r="15">
      <c r="A15" s="38" t="s">
        <v>75</v>
      </c>
      <c r="B15" s="39"/>
    </row>
    <row r="16">
      <c r="A16" s="40" t="s">
        <v>78</v>
      </c>
      <c r="B16" s="39"/>
    </row>
    <row r="17">
      <c r="A17" s="36" t="s">
        <v>33</v>
      </c>
      <c r="B17" s="39"/>
    </row>
    <row r="18">
      <c r="A18" s="38" t="s">
        <v>37</v>
      </c>
      <c r="B18" s="39"/>
    </row>
    <row r="19">
      <c r="A19" s="38" t="s">
        <v>50</v>
      </c>
      <c r="B19" s="39"/>
    </row>
    <row r="20">
      <c r="A20" s="40" t="s">
        <v>54</v>
      </c>
      <c r="B20" s="39"/>
    </row>
    <row r="21">
      <c r="A21" s="36" t="s">
        <v>42</v>
      </c>
      <c r="B21" s="37"/>
    </row>
    <row r="22">
      <c r="A22" s="40" t="s">
        <v>46</v>
      </c>
      <c r="B22" s="37"/>
    </row>
    <row r="23">
      <c r="A23" s="36" t="s">
        <v>41</v>
      </c>
      <c r="B23" s="39"/>
    </row>
    <row r="24">
      <c r="A24" s="38" t="s">
        <v>45</v>
      </c>
      <c r="B24" s="39"/>
    </row>
    <row r="25">
      <c r="A25" s="38" t="s">
        <v>49</v>
      </c>
      <c r="B25" s="37"/>
    </row>
    <row r="26">
      <c r="A26" s="40" t="s">
        <v>53</v>
      </c>
      <c r="B26" s="39"/>
    </row>
    <row r="27">
      <c r="A27" s="36" t="s">
        <v>21</v>
      </c>
      <c r="B27" s="37"/>
    </row>
    <row r="28">
      <c r="A28" s="38" t="s">
        <v>27</v>
      </c>
      <c r="B28" s="39"/>
    </row>
    <row r="29">
      <c r="A29" s="38" t="s">
        <v>31</v>
      </c>
      <c r="B29" s="39"/>
    </row>
    <row r="30">
      <c r="A30" s="38" t="s">
        <v>36</v>
      </c>
      <c r="B30" s="37"/>
    </row>
    <row r="31">
      <c r="A31" s="38" t="s">
        <v>67</v>
      </c>
      <c r="B31" s="39"/>
    </row>
    <row r="32">
      <c r="A32" s="40" t="s">
        <v>71</v>
      </c>
      <c r="B32" s="39"/>
    </row>
    <row r="33">
      <c r="A33" s="36" t="s">
        <v>66</v>
      </c>
      <c r="B33" s="39"/>
    </row>
    <row r="34">
      <c r="A34" s="38" t="s">
        <v>70</v>
      </c>
      <c r="B34" s="39"/>
    </row>
    <row r="35">
      <c r="A35" s="38" t="s">
        <v>80</v>
      </c>
      <c r="B35" s="39"/>
    </row>
    <row r="36">
      <c r="A36" s="40" t="s">
        <v>84</v>
      </c>
      <c r="B36" s="39"/>
    </row>
    <row r="37">
      <c r="A37" s="36" t="s">
        <v>23</v>
      </c>
      <c r="B37" s="37"/>
    </row>
    <row r="38">
      <c r="A38" s="38" t="s">
        <v>28</v>
      </c>
      <c r="B38" s="39"/>
    </row>
    <row r="39">
      <c r="A39" s="38" t="s">
        <v>58</v>
      </c>
      <c r="B39" s="39"/>
    </row>
    <row r="40">
      <c r="A40" s="40" t="s">
        <v>62</v>
      </c>
      <c r="B40" s="39"/>
    </row>
    <row r="41">
      <c r="A41" s="36" t="s">
        <v>82</v>
      </c>
      <c r="B41" s="39"/>
    </row>
    <row r="42">
      <c r="A42" s="40" t="s">
        <v>85</v>
      </c>
      <c r="B42" s="39"/>
    </row>
    <row r="43">
      <c r="A43" s="36" t="s">
        <v>57</v>
      </c>
      <c r="B43" s="39"/>
    </row>
    <row r="44">
      <c r="A44" s="38" t="s">
        <v>61</v>
      </c>
      <c r="B44" s="39"/>
    </row>
    <row r="45">
      <c r="A45" s="38" t="s">
        <v>74</v>
      </c>
      <c r="B45" s="39"/>
    </row>
    <row r="46">
      <c r="A46" s="40" t="s">
        <v>77</v>
      </c>
      <c r="B46" s="39"/>
    </row>
    <row r="47">
      <c r="A47" s="41"/>
      <c r="B47" s="41"/>
    </row>
    <row r="48">
      <c r="A48" s="41"/>
      <c r="B48" s="42"/>
    </row>
    <row r="49">
      <c r="A49" s="41"/>
      <c r="B49" s="41"/>
    </row>
    <row r="56">
      <c r="B56" s="43"/>
    </row>
    <row r="57">
      <c r="B57" s="43"/>
    </row>
    <row r="58">
      <c r="B58" s="43"/>
    </row>
    <row r="59">
      <c r="B59" s="43"/>
    </row>
    <row r="60">
      <c r="B60" s="43"/>
    </row>
    <row r="61">
      <c r="B61" s="43"/>
    </row>
    <row r="62">
      <c r="B62" s="43"/>
    </row>
    <row r="63">
      <c r="B63" s="43"/>
    </row>
    <row r="64">
      <c r="B64" s="43"/>
    </row>
    <row r="65">
      <c r="B65" s="43"/>
    </row>
    <row r="66">
      <c r="B66" s="43"/>
    </row>
    <row r="67">
      <c r="B67" s="43"/>
    </row>
    <row r="68">
      <c r="B68" s="43"/>
    </row>
    <row r="69">
      <c r="B69" s="43"/>
    </row>
    <row r="70">
      <c r="B70" s="43"/>
    </row>
    <row r="71">
      <c r="B71" s="43"/>
    </row>
    <row r="72">
      <c r="B72" s="43"/>
    </row>
    <row r="73">
      <c r="B73" s="43"/>
    </row>
    <row r="74">
      <c r="B74" s="43"/>
    </row>
    <row r="75">
      <c r="B75" s="43"/>
    </row>
    <row r="76">
      <c r="B76" s="43"/>
    </row>
    <row r="77">
      <c r="B77" s="43"/>
    </row>
    <row r="78">
      <c r="B78" s="43"/>
    </row>
    <row r="79">
      <c r="B79" s="43"/>
    </row>
    <row r="80">
      <c r="B80" s="43"/>
    </row>
    <row r="81">
      <c r="B81" s="43"/>
    </row>
    <row r="82">
      <c r="B82" s="43"/>
    </row>
    <row r="83">
      <c r="B83" s="43"/>
    </row>
    <row r="84">
      <c r="B84" s="43"/>
    </row>
    <row r="85">
      <c r="B85" s="43"/>
    </row>
    <row r="86">
      <c r="B86" s="43"/>
    </row>
    <row r="87">
      <c r="B87" s="43"/>
    </row>
    <row r="88">
      <c r="B88" s="43"/>
    </row>
    <row r="89">
      <c r="B89" s="43"/>
    </row>
    <row r="90">
      <c r="B90" s="43"/>
    </row>
    <row r="91">
      <c r="B91" s="43"/>
    </row>
    <row r="92">
      <c r="B92" s="43"/>
    </row>
    <row r="93">
      <c r="B93" s="43"/>
    </row>
    <row r="94">
      <c r="B94" s="43"/>
    </row>
    <row r="95">
      <c r="B95" s="43"/>
    </row>
    <row r="96">
      <c r="B96" s="43"/>
    </row>
    <row r="97">
      <c r="B97" s="43"/>
    </row>
    <row r="98">
      <c r="B98" s="43"/>
    </row>
    <row r="99">
      <c r="B99" s="43"/>
    </row>
    <row r="100">
      <c r="B100" s="43"/>
    </row>
    <row r="101">
      <c r="B101" s="43"/>
    </row>
  </sheetData>
  <printOptions gridLines="1" horizontalCentered="1"/>
  <pageMargins bottom="0.75" footer="0.0" header="0.0" left="0.25" right="0.25" top="0.75"/>
  <pageSetup fitToWidth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12.25"/>
    <col customWidth="1" min="3" max="3" width="11.63"/>
    <col customWidth="1" min="4" max="4" width="7.75"/>
    <col customWidth="1" min="5" max="5" width="9.38"/>
    <col customWidth="1" min="6" max="6" width="10.0"/>
    <col customWidth="1" hidden="1" min="7" max="10" width="13.0"/>
    <col customWidth="1" min="11" max="11" width="5.38"/>
    <col customWidth="1" min="12" max="12" width="8.13"/>
    <col customWidth="1" min="14" max="14" width="10.5"/>
  </cols>
  <sheetData>
    <row r="1" ht="21.0" customHeight="1">
      <c r="A1" s="44" t="s">
        <v>105</v>
      </c>
      <c r="B1" s="45" t="str">
        <f>Convert!I3</f>
        <v>22/05/2568</v>
      </c>
      <c r="C1" s="46" t="s">
        <v>106</v>
      </c>
    </row>
    <row r="2" ht="19.5" customHeight="1">
      <c r="A2" s="47" t="s">
        <v>103</v>
      </c>
      <c r="B2" s="48" t="s">
        <v>107</v>
      </c>
      <c r="C2" s="48" t="s">
        <v>108</v>
      </c>
      <c r="D2" s="47" t="s">
        <v>109</v>
      </c>
      <c r="E2" s="49" t="s">
        <v>110</v>
      </c>
      <c r="F2" s="47" t="s">
        <v>111</v>
      </c>
      <c r="G2" s="50" t="s">
        <v>112</v>
      </c>
      <c r="H2" s="50" t="s">
        <v>111</v>
      </c>
      <c r="I2" s="50" t="s">
        <v>113</v>
      </c>
      <c r="J2" s="50" t="s">
        <v>114</v>
      </c>
      <c r="K2" s="47" t="s">
        <v>115</v>
      </c>
      <c r="L2" s="47" t="s">
        <v>116</v>
      </c>
      <c r="M2" s="51" t="s">
        <v>117</v>
      </c>
      <c r="N2" s="52" t="s">
        <v>118</v>
      </c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</row>
    <row r="3">
      <c r="A3" s="54" t="s">
        <v>34</v>
      </c>
      <c r="B3" s="55">
        <f t="array" ref="B3">round(xlookup(A3,Convert!O:O,Convert!E:E,"-"),1)</f>
        <v>65763.4</v>
      </c>
      <c r="C3" s="55">
        <f t="array" ref="C3">round(xlookup(A3,Convert!O:O,Convert!H:H,"-"),1)</f>
        <v>67637.4</v>
      </c>
      <c r="D3" s="39">
        <f t="array" ref="D3">XLOOKUP(A3,Convert!O:O,Convert!J:J,"-")</f>
        <v>0</v>
      </c>
      <c r="E3" s="39" t="str">
        <f>'บันทึกลองลิตร'!B3</f>
        <v/>
      </c>
      <c r="F3" s="55">
        <f t="shared" ref="F3:F46" si="1">round(C3-B3-D3-E3,1)</f>
        <v>1874</v>
      </c>
      <c r="G3" s="56">
        <f t="array" ref="G3">XLOOKUP(A3,Convert!O:O,Convert!N:N,"-")</f>
        <v>60886.2</v>
      </c>
      <c r="H3" s="56">
        <f t="array" ref="H3">XLOOKUP(A3,Convert!O:O,Convert!L:L,"-")</f>
        <v>1873.99</v>
      </c>
      <c r="I3" s="56">
        <f t="shared" ref="I3:I8" si="2">H3*L$3</f>
        <v>60885.9351</v>
      </c>
      <c r="J3" s="56">
        <f>sum(G3:G8)/sum(H3:H8)</f>
        <v>32.49010139</v>
      </c>
      <c r="K3" s="57" t="s">
        <v>119</v>
      </c>
      <c r="L3" s="57">
        <f>Petrol_price!D4</f>
        <v>32.49</v>
      </c>
      <c r="M3" s="58">
        <f t="shared" ref="M3:M8" si="3">F3*$L$3</f>
        <v>60886.26</v>
      </c>
      <c r="N3" s="59"/>
    </row>
    <row r="4">
      <c r="A4" s="54" t="s">
        <v>38</v>
      </c>
      <c r="B4" s="55">
        <f t="array" ref="B4">round(xlookup(A4,Convert!O:O,Convert!E:E,"-"),1)</f>
        <v>859430.3</v>
      </c>
      <c r="C4" s="55">
        <f t="array" ref="C4">round(xlookup(A4,Convert!O:O,Convert!H:H,"-"),1)</f>
        <v>859808.9</v>
      </c>
      <c r="D4" s="39">
        <f t="array" ref="D4">XLOOKUP(A4,Convert!O:O,Convert!J:J,"-")</f>
        <v>0</v>
      </c>
      <c r="E4" s="39" t="str">
        <f>'บันทึกลองลิตร'!B4</f>
        <v/>
      </c>
      <c r="F4" s="55">
        <f t="shared" si="1"/>
        <v>378.6</v>
      </c>
      <c r="G4" s="56">
        <f t="array" ref="G4">XLOOKUP(A4,Convert!O:O,Convert!N:N,"-")</f>
        <v>12300</v>
      </c>
      <c r="H4" s="56">
        <f t="array" ref="H4">XLOOKUP(A4,Convert!O:O,Convert!L:L,"-")</f>
        <v>378.58</v>
      </c>
      <c r="I4" s="56">
        <f t="shared" si="2"/>
        <v>12300.0642</v>
      </c>
      <c r="J4" s="56"/>
      <c r="K4" s="55"/>
      <c r="L4" s="60" t="s">
        <v>120</v>
      </c>
      <c r="M4" s="58">
        <f t="shared" si="3"/>
        <v>12300.714</v>
      </c>
      <c r="N4" s="61"/>
    </row>
    <row r="5">
      <c r="A5" s="54" t="s">
        <v>51</v>
      </c>
      <c r="B5" s="55">
        <f t="array" ref="B5">round(xlookup(A5,Convert!O:O,Convert!E:E,"-"),1)</f>
        <v>421928.1</v>
      </c>
      <c r="C5" s="55">
        <f t="array" ref="C5">round(xlookup(A5,Convert!O:O,Convert!H:H,"-"),1)</f>
        <v>423640.1</v>
      </c>
      <c r="D5" s="39">
        <f t="array" ref="D5">XLOOKUP(A5,Convert!O:O,Convert!J:J,"-")</f>
        <v>0</v>
      </c>
      <c r="E5" s="39" t="str">
        <f>'บันทึกลองลิตร'!B5</f>
        <v/>
      </c>
      <c r="F5" s="55">
        <f t="shared" si="1"/>
        <v>1712</v>
      </c>
      <c r="G5" s="56">
        <f t="array" ref="G5">XLOOKUP(A5,Convert!O:O,Convert!N:N,"-")</f>
        <v>55623.7</v>
      </c>
      <c r="H5" s="56">
        <f t="array" ref="H5">XLOOKUP(A5,Convert!O:O,Convert!L:L,"-")</f>
        <v>1712.02</v>
      </c>
      <c r="I5" s="56">
        <f t="shared" si="2"/>
        <v>55623.5298</v>
      </c>
      <c r="J5" s="56"/>
      <c r="K5" s="55"/>
      <c r="L5" s="60" t="s">
        <v>120</v>
      </c>
      <c r="M5" s="58">
        <f t="shared" si="3"/>
        <v>55622.88</v>
      </c>
      <c r="N5" s="61"/>
    </row>
    <row r="6">
      <c r="A6" s="54" t="s">
        <v>55</v>
      </c>
      <c r="B6" s="55">
        <f t="array" ref="B6">round(xlookup(A6,Convert!O:O,Convert!E:E,"-"),1)</f>
        <v>627162.5</v>
      </c>
      <c r="C6" s="55">
        <f t="array" ref="C6">round(xlookup(A6,Convert!O:O,Convert!H:H,"-"),1)</f>
        <v>627620.7</v>
      </c>
      <c r="D6" s="39">
        <f t="array" ref="D6">XLOOKUP(A6,Convert!O:O,Convert!J:J,"-")</f>
        <v>0</v>
      </c>
      <c r="E6" s="39" t="str">
        <f>'บันทึกลองลิตร'!B6</f>
        <v/>
      </c>
      <c r="F6" s="55">
        <f t="shared" si="1"/>
        <v>458.2</v>
      </c>
      <c r="G6" s="56">
        <f t="array" ref="G6">XLOOKUP(A6,Convert!O:O,Convert!N:N,"-")</f>
        <v>14889</v>
      </c>
      <c r="H6" s="56">
        <f t="array" ref="H6">XLOOKUP(A6,Convert!O:O,Convert!L:L,"-")</f>
        <v>458.26</v>
      </c>
      <c r="I6" s="56">
        <f t="shared" si="2"/>
        <v>14888.8674</v>
      </c>
      <c r="J6" s="56"/>
      <c r="K6" s="55"/>
      <c r="L6" s="60" t="s">
        <v>120</v>
      </c>
      <c r="M6" s="58">
        <f t="shared" si="3"/>
        <v>14886.918</v>
      </c>
      <c r="N6" s="61"/>
    </row>
    <row r="7">
      <c r="A7" s="54" t="s">
        <v>68</v>
      </c>
      <c r="B7" s="55">
        <f t="array" ref="B7">round(xlookup(A7,Convert!O:O,Convert!E:E,"-"),1)</f>
        <v>785206.2</v>
      </c>
      <c r="C7" s="55">
        <f t="array" ref="C7">round(xlookup(A7,Convert!O:O,Convert!H:H,"-"),1)</f>
        <v>786496.5</v>
      </c>
      <c r="D7" s="39">
        <f t="array" ref="D7">XLOOKUP(A7,Convert!O:O,Convert!J:J,"-")</f>
        <v>0</v>
      </c>
      <c r="E7" s="39" t="str">
        <f>'บันทึกลองลิตร'!B7</f>
        <v/>
      </c>
      <c r="F7" s="55">
        <f t="shared" si="1"/>
        <v>1290.3</v>
      </c>
      <c r="G7" s="56">
        <f t="array" ref="G7">XLOOKUP(A7,Convert!O:O,Convert!N:N,"-")</f>
        <v>41922.5</v>
      </c>
      <c r="H7" s="56">
        <f t="array" ref="H7">XLOOKUP(A7,Convert!O:O,Convert!L:L,"-")</f>
        <v>1290.32</v>
      </c>
      <c r="I7" s="56">
        <f t="shared" si="2"/>
        <v>41922.4968</v>
      </c>
      <c r="J7" s="56"/>
      <c r="K7" s="55"/>
      <c r="L7" s="60" t="s">
        <v>120</v>
      </c>
      <c r="M7" s="58">
        <f t="shared" si="3"/>
        <v>41921.847</v>
      </c>
      <c r="N7" s="61"/>
    </row>
    <row r="8">
      <c r="A8" s="62" t="s">
        <v>72</v>
      </c>
      <c r="B8" s="63">
        <f t="array" ref="B8">round(xlookup(A8,Convert!O:O,Convert!E:E,"-"),1)</f>
        <v>452661.3</v>
      </c>
      <c r="C8" s="63">
        <f t="array" ref="C8">round(xlookup(A8,Convert!O:O,Convert!H:H,"-"),1)</f>
        <v>452744.4</v>
      </c>
      <c r="D8" s="64">
        <f t="array" ref="D8">XLOOKUP(A8,Convert!O:O,Convert!J:J,"-")</f>
        <v>0</v>
      </c>
      <c r="E8" s="64" t="str">
        <f>'บันทึกลองลิตร'!B8</f>
        <v/>
      </c>
      <c r="F8" s="63">
        <f t="shared" si="1"/>
        <v>83.1</v>
      </c>
      <c r="G8" s="65">
        <f t="array" ref="G8">XLOOKUP(A8,Convert!O:O,Convert!N:N,"-")</f>
        <v>2700</v>
      </c>
      <c r="H8" s="65">
        <f t="array" ref="H8">XLOOKUP(A8,Convert!O:O,Convert!L:L,"-")</f>
        <v>83.1</v>
      </c>
      <c r="I8" s="65">
        <f t="shared" si="2"/>
        <v>2699.919</v>
      </c>
      <c r="J8" s="65"/>
      <c r="K8" s="63"/>
      <c r="L8" s="66" t="s">
        <v>120</v>
      </c>
      <c r="M8" s="67">
        <f t="shared" si="3"/>
        <v>2699.919</v>
      </c>
      <c r="N8" s="68">
        <f>SUM(F3:F8)</f>
        <v>5796.2</v>
      </c>
    </row>
    <row r="9">
      <c r="A9" s="69" t="s">
        <v>25</v>
      </c>
      <c r="B9" s="70">
        <f t="array" ref="B9">round(xlookup(A9,Convert!O:O,Convert!E:E,"-"),1)</f>
        <v>442986.2</v>
      </c>
      <c r="C9" s="70">
        <f t="array" ref="C9">round(xlookup(A9,Convert!O:O,Convert!H:H,"-"),1)</f>
        <v>443657.8</v>
      </c>
      <c r="D9" s="71">
        <f t="array" ref="D9">XLOOKUP(A9,Convert!O:O,Convert!J:J,"-")</f>
        <v>0</v>
      </c>
      <c r="E9" s="71" t="str">
        <f>'บันทึกลองลิตร'!B9</f>
        <v/>
      </c>
      <c r="F9" s="70">
        <f t="shared" si="1"/>
        <v>671.6</v>
      </c>
      <c r="G9" s="72">
        <f t="array" ref="G9">XLOOKUP(A9,Convert!O:O,Convert!N:N,"-")</f>
        <v>21820</v>
      </c>
      <c r="H9" s="72">
        <f t="array" ref="H9">XLOOKUP(A9,Convert!O:O,Convert!L:L,"-")</f>
        <v>671.59</v>
      </c>
      <c r="I9" s="72">
        <f t="shared" ref="I9:I16" si="4">H9*L$9</f>
        <v>21819.9591</v>
      </c>
      <c r="J9" s="72">
        <f>sum(G9:G16)/sum(H9:H16)</f>
        <v>32.48994987</v>
      </c>
      <c r="K9" s="73" t="s">
        <v>119</v>
      </c>
      <c r="L9" s="73">
        <f>Petrol_price!D4</f>
        <v>32.49</v>
      </c>
      <c r="M9" s="74">
        <f t="shared" ref="M9:M16" si="5">F9*$L$9</f>
        <v>21820.284</v>
      </c>
      <c r="N9" s="61"/>
      <c r="O9" s="75"/>
    </row>
    <row r="10">
      <c r="A10" s="54" t="s">
        <v>29</v>
      </c>
      <c r="B10" s="55">
        <f t="array" ref="B10">round(xlookup(A10,Convert!O:O,Convert!E:E,"-"),1)</f>
        <v>529240</v>
      </c>
      <c r="C10" s="55">
        <f t="array" ref="C10">round(xlookup(A10,Convert!O:O,Convert!H:H,"-"),1)</f>
        <v>529329.3</v>
      </c>
      <c r="D10" s="39">
        <f t="array" ref="D10">XLOOKUP(A10,Convert!O:O,Convert!J:J,"-")</f>
        <v>0</v>
      </c>
      <c r="E10" s="39" t="str">
        <f>'บันทึกลองลิตร'!B10</f>
        <v/>
      </c>
      <c r="F10" s="55">
        <f t="shared" si="1"/>
        <v>89.3</v>
      </c>
      <c r="G10" s="56">
        <f t="array" ref="G10">XLOOKUP(A10,Convert!O:O,Convert!N:N,"-")</f>
        <v>2900</v>
      </c>
      <c r="H10" s="56">
        <f t="array" ref="H10">XLOOKUP(A10,Convert!O:O,Convert!L:L,"-")</f>
        <v>89.26</v>
      </c>
      <c r="I10" s="56">
        <f t="shared" si="4"/>
        <v>2900.0574</v>
      </c>
      <c r="J10" s="56"/>
      <c r="K10" s="55"/>
      <c r="L10" s="60" t="s">
        <v>120</v>
      </c>
      <c r="M10" s="58">
        <f t="shared" si="5"/>
        <v>2901.357</v>
      </c>
      <c r="N10" s="61"/>
    </row>
    <row r="11">
      <c r="A11" s="54" t="s">
        <v>43</v>
      </c>
      <c r="B11" s="55">
        <f t="array" ref="B11">round(xlookup(A11,Convert!O:O,Convert!E:E,"-"),1)</f>
        <v>652171.2</v>
      </c>
      <c r="C11" s="55">
        <f t="array" ref="C11">round(xlookup(A11,Convert!O:O,Convert!H:H,"-"),1)</f>
        <v>652824.4</v>
      </c>
      <c r="D11" s="39">
        <f t="array" ref="D11">XLOOKUP(A11,Convert!O:O,Convert!J:J,"-")</f>
        <v>0</v>
      </c>
      <c r="E11" s="39" t="str">
        <f>'บันทึกลองลิตร'!B11</f>
        <v/>
      </c>
      <c r="F11" s="55">
        <f t="shared" si="1"/>
        <v>653.2</v>
      </c>
      <c r="G11" s="56">
        <f t="array" ref="G11">XLOOKUP(A11,Convert!O:O,Convert!N:N,"-")</f>
        <v>21220</v>
      </c>
      <c r="H11" s="56">
        <f t="array" ref="H11">XLOOKUP(A11,Convert!O:O,Convert!L:L,"-")</f>
        <v>653.12</v>
      </c>
      <c r="I11" s="56">
        <f t="shared" si="4"/>
        <v>21219.8688</v>
      </c>
      <c r="J11" s="56"/>
      <c r="K11" s="55"/>
      <c r="L11" s="60" t="s">
        <v>120</v>
      </c>
      <c r="M11" s="58">
        <f t="shared" si="5"/>
        <v>21222.468</v>
      </c>
      <c r="N11" s="61"/>
    </row>
    <row r="12">
      <c r="A12" s="54" t="s">
        <v>47</v>
      </c>
      <c r="B12" s="55">
        <f t="array" ref="B12">round(xlookup(A12,Convert!O:O,Convert!E:E,"-"),1)</f>
        <v>476760.4</v>
      </c>
      <c r="C12" s="55">
        <f t="array" ref="C12">round(xlookup(A12,Convert!O:O,Convert!H:H,"-"),1)</f>
        <v>476785.3</v>
      </c>
      <c r="D12" s="39">
        <f t="array" ref="D12">XLOOKUP(A12,Convert!O:O,Convert!J:J,"-")</f>
        <v>0</v>
      </c>
      <c r="E12" s="39" t="str">
        <f>'บันทึกลองลิตร'!B12</f>
        <v/>
      </c>
      <c r="F12" s="55">
        <f t="shared" si="1"/>
        <v>24.9</v>
      </c>
      <c r="G12" s="56">
        <f t="array" ref="G12">XLOOKUP(A12,Convert!O:O,Convert!N:N,"-")</f>
        <v>810.5</v>
      </c>
      <c r="H12" s="56">
        <f t="array" ref="H12">XLOOKUP(A12,Convert!O:O,Convert!L:L,"-")</f>
        <v>24.95</v>
      </c>
      <c r="I12" s="56">
        <f t="shared" si="4"/>
        <v>810.6255</v>
      </c>
      <c r="J12" s="56"/>
      <c r="K12" s="55"/>
      <c r="L12" s="60" t="s">
        <v>120</v>
      </c>
      <c r="M12" s="58">
        <f t="shared" si="5"/>
        <v>809.001</v>
      </c>
      <c r="N12" s="61"/>
    </row>
    <row r="13">
      <c r="A13" s="54" t="s">
        <v>59</v>
      </c>
      <c r="B13" s="55">
        <f t="array" ref="B13">round(xlookup(A13,Convert!O:O,Convert!E:E,"-"),1)</f>
        <v>457070.2</v>
      </c>
      <c r="C13" s="55">
        <f t="array" ref="C13">round(xlookup(A13,Convert!O:O,Convert!H:H,"-"),1)</f>
        <v>457359.5</v>
      </c>
      <c r="D13" s="39">
        <f t="array" ref="D13">XLOOKUP(A13,Convert!O:O,Convert!J:J,"-")</f>
        <v>0</v>
      </c>
      <c r="E13" s="39" t="str">
        <f>'บันทึกลองลิตร'!B13</f>
        <v/>
      </c>
      <c r="F13" s="55">
        <f t="shared" si="1"/>
        <v>289.3</v>
      </c>
      <c r="G13" s="56">
        <f t="array" ref="G13">XLOOKUP(A13,Convert!O:O,Convert!N:N,"-")</f>
        <v>9400</v>
      </c>
      <c r="H13" s="56">
        <f t="array" ref="H13">XLOOKUP(A13,Convert!O:O,Convert!L:L,"-")</f>
        <v>289.32</v>
      </c>
      <c r="I13" s="56">
        <f t="shared" si="4"/>
        <v>9400.0068</v>
      </c>
      <c r="J13" s="56"/>
      <c r="K13" s="55"/>
      <c r="L13" s="60" t="s">
        <v>120</v>
      </c>
      <c r="M13" s="58">
        <f t="shared" si="5"/>
        <v>9399.357</v>
      </c>
      <c r="N13" s="61"/>
    </row>
    <row r="14">
      <c r="A14" s="54" t="s">
        <v>63</v>
      </c>
      <c r="B14" s="55">
        <f t="array" ref="B14">round(xlookup(A14,Convert!O:O,Convert!E:E,"-"),1)</f>
        <v>367409.7</v>
      </c>
      <c r="C14" s="55">
        <f t="array" ref="C14">round(xlookup(A14,Convert!O:O,Convert!H:H,"-"),1)</f>
        <v>367478.4</v>
      </c>
      <c r="D14" s="39">
        <f t="array" ref="D14">XLOOKUP(A14,Convert!O:O,Convert!J:J,"-")</f>
        <v>0</v>
      </c>
      <c r="E14" s="39" t="str">
        <f>'บันทึกลองลิตร'!B14</f>
        <v/>
      </c>
      <c r="F14" s="55">
        <f t="shared" si="1"/>
        <v>68.7</v>
      </c>
      <c r="G14" s="56">
        <f t="array" ref="G14">XLOOKUP(A14,Convert!O:O,Convert!N:N,"-")</f>
        <v>2230</v>
      </c>
      <c r="H14" s="56">
        <f t="array" ref="H14">XLOOKUP(A14,Convert!O:O,Convert!L:L,"-")</f>
        <v>68.64</v>
      </c>
      <c r="I14" s="56">
        <f t="shared" si="4"/>
        <v>2230.1136</v>
      </c>
      <c r="J14" s="56"/>
      <c r="K14" s="55"/>
      <c r="L14" s="60" t="s">
        <v>120</v>
      </c>
      <c r="M14" s="58">
        <f t="shared" si="5"/>
        <v>2232.063</v>
      </c>
      <c r="N14" s="61"/>
    </row>
    <row r="15">
      <c r="A15" s="54" t="s">
        <v>75</v>
      </c>
      <c r="B15" s="55">
        <f t="array" ref="B15">round(xlookup(A15,Convert!O:O,Convert!E:E,"-"),1)</f>
        <v>467032</v>
      </c>
      <c r="C15" s="55">
        <f t="array" ref="C15">round(xlookup(A15,Convert!O:O,Convert!H:H,"-"),1)</f>
        <v>467535.6</v>
      </c>
      <c r="D15" s="39">
        <f t="array" ref="D15">XLOOKUP(A15,Convert!O:O,Convert!J:J,"-")</f>
        <v>0</v>
      </c>
      <c r="E15" s="39" t="str">
        <f>'บันทึกลองลิตร'!B15</f>
        <v/>
      </c>
      <c r="F15" s="55">
        <f t="shared" si="1"/>
        <v>503.6</v>
      </c>
      <c r="G15" s="56">
        <f t="array" ref="G15">XLOOKUP(A15,Convert!O:O,Convert!N:N,"-")</f>
        <v>16361.3</v>
      </c>
      <c r="H15" s="56">
        <f t="array" ref="H15">XLOOKUP(A15,Convert!O:O,Convert!L:L,"-")</f>
        <v>503.58</v>
      </c>
      <c r="I15" s="56">
        <f t="shared" si="4"/>
        <v>16361.3142</v>
      </c>
      <c r="J15" s="56"/>
      <c r="K15" s="55"/>
      <c r="L15" s="60" t="s">
        <v>120</v>
      </c>
      <c r="M15" s="58">
        <f t="shared" si="5"/>
        <v>16361.964</v>
      </c>
      <c r="N15" s="61"/>
    </row>
    <row r="16">
      <c r="A16" s="62" t="s">
        <v>78</v>
      </c>
      <c r="B16" s="63">
        <f t="array" ref="B16">round(xlookup(A16,Convert!O:O,Convert!E:E,"-"),1)</f>
        <v>172619.3</v>
      </c>
      <c r="C16" s="63">
        <f t="array" ref="C16">round(xlookup(A16,Convert!O:O,Convert!H:H,"-"),1)</f>
        <v>173219.3</v>
      </c>
      <c r="D16" s="64">
        <f t="array" ref="D16">XLOOKUP(A16,Convert!O:O,Convert!J:J,"-")</f>
        <v>0</v>
      </c>
      <c r="E16" s="64" t="str">
        <f>'บันทึกลองลิตร'!B16</f>
        <v/>
      </c>
      <c r="F16" s="63">
        <f t="shared" si="1"/>
        <v>600</v>
      </c>
      <c r="G16" s="65">
        <f t="array" ref="G16">XLOOKUP(A16,Convert!O:O,Convert!N:N,"-")</f>
        <v>19494</v>
      </c>
      <c r="H16" s="65">
        <f t="array" ref="H16">XLOOKUP(A16,Convert!O:O,Convert!L:L,"-")</f>
        <v>600</v>
      </c>
      <c r="I16" s="65">
        <f t="shared" si="4"/>
        <v>19494</v>
      </c>
      <c r="J16" s="65"/>
      <c r="K16" s="63"/>
      <c r="L16" s="66" t="s">
        <v>120</v>
      </c>
      <c r="M16" s="67">
        <f t="shared" si="5"/>
        <v>19494</v>
      </c>
      <c r="N16" s="68">
        <f>sum(F9:F16)</f>
        <v>2900.6</v>
      </c>
    </row>
    <row r="17">
      <c r="A17" s="69" t="s">
        <v>33</v>
      </c>
      <c r="B17" s="70">
        <f t="array" ref="B17">round(xlookup(A17,Convert!O:O,Convert!E:E,"-"),1)</f>
        <v>432029.2</v>
      </c>
      <c r="C17" s="70">
        <f t="array" ref="C17">round(xlookup(A17,Convert!O:O,Convert!H:H,"-"),1)</f>
        <v>432056.1</v>
      </c>
      <c r="D17" s="71">
        <f t="array" ref="D17">XLOOKUP(A17,Convert!O:O,Convert!J:J,"-")</f>
        <v>0</v>
      </c>
      <c r="E17" s="71" t="str">
        <f>'บันทึกลองลิตร'!B17</f>
        <v/>
      </c>
      <c r="F17" s="70">
        <f t="shared" si="1"/>
        <v>26.9</v>
      </c>
      <c r="G17" s="72">
        <f t="array" ref="G17">XLOOKUP(A17,Convert!O:O,Convert!N:N,"-")</f>
        <v>1200</v>
      </c>
      <c r="H17" s="72">
        <f t="array" ref="H17">XLOOKUP(A17,Convert!O:O,Convert!L:L,"-")</f>
        <v>26.98</v>
      </c>
      <c r="I17" s="72">
        <f t="shared" ref="I17:I20" si="6">H17*L$17</f>
        <v>1200.3402</v>
      </c>
      <c r="J17" s="72">
        <f>sum(G17:G20)/sum(H17:H20)</f>
        <v>44.47739066</v>
      </c>
      <c r="K17" s="73" t="s">
        <v>121</v>
      </c>
      <c r="L17" s="73">
        <f>Petrol_price!D2</f>
        <v>44.49</v>
      </c>
      <c r="M17" s="74">
        <f t="shared" ref="M17:M20" si="7">F17*$L$17</f>
        <v>1196.781</v>
      </c>
      <c r="N17" s="61"/>
    </row>
    <row r="18">
      <c r="A18" s="54" t="s">
        <v>37</v>
      </c>
      <c r="B18" s="55">
        <f t="array" ref="B18">round(xlookup(A18,Convert!O:O,Convert!E:E,"-"),1)</f>
        <v>177639.4</v>
      </c>
      <c r="C18" s="55">
        <f t="array" ref="C18">round(xlookup(A18,Convert!O:O,Convert!H:H,"-"),1)</f>
        <v>177639.4</v>
      </c>
      <c r="D18" s="39">
        <f t="array" ref="D18">XLOOKUP(A18,Convert!O:O,Convert!J:J,"-")</f>
        <v>0</v>
      </c>
      <c r="E18" s="39" t="str">
        <f>'บันทึกลองลิตร'!B18</f>
        <v/>
      </c>
      <c r="F18" s="55">
        <f t="shared" si="1"/>
        <v>0</v>
      </c>
      <c r="G18" s="56">
        <f t="array" ref="G18">XLOOKUP(A18,Convert!O:O,Convert!N:N,"-")</f>
        <v>0</v>
      </c>
      <c r="H18" s="56">
        <f t="array" ref="H18">XLOOKUP(A18,Convert!O:O,Convert!L:L,"-")</f>
        <v>0</v>
      </c>
      <c r="I18" s="56">
        <f t="shared" si="6"/>
        <v>0</v>
      </c>
      <c r="J18" s="56"/>
      <c r="K18" s="55"/>
      <c r="L18" s="60" t="s">
        <v>120</v>
      </c>
      <c r="M18" s="58">
        <f t="shared" si="7"/>
        <v>0</v>
      </c>
      <c r="N18" s="61"/>
    </row>
    <row r="19">
      <c r="A19" s="54" t="s">
        <v>50</v>
      </c>
      <c r="B19" s="55">
        <f t="array" ref="B19">round(xlookup(A19,Convert!O:O,Convert!E:E,"-"),1)</f>
        <v>390645.7</v>
      </c>
      <c r="C19" s="55">
        <f t="array" ref="C19">round(xlookup(A19,Convert!O:O,Convert!H:H,"-"),1)</f>
        <v>390645.7</v>
      </c>
      <c r="D19" s="39">
        <f t="array" ref="D19">XLOOKUP(A19,Convert!O:O,Convert!J:J,"-")</f>
        <v>0</v>
      </c>
      <c r="E19" s="39" t="str">
        <f>'บันทึกลองลิตร'!B19</f>
        <v/>
      </c>
      <c r="F19" s="55">
        <f t="shared" si="1"/>
        <v>0</v>
      </c>
      <c r="G19" s="56">
        <f t="array" ref="G19">XLOOKUP(A19,Convert!O:O,Convert!N:N,"-")</f>
        <v>0</v>
      </c>
      <c r="H19" s="56">
        <f t="array" ref="H19">XLOOKUP(A19,Convert!O:O,Convert!L:L,"-")</f>
        <v>0</v>
      </c>
      <c r="I19" s="56">
        <f t="shared" si="6"/>
        <v>0</v>
      </c>
      <c r="J19" s="56"/>
      <c r="K19" s="55"/>
      <c r="L19" s="60" t="s">
        <v>120</v>
      </c>
      <c r="M19" s="58">
        <f t="shared" si="7"/>
        <v>0</v>
      </c>
      <c r="N19" s="61"/>
    </row>
    <row r="20">
      <c r="A20" s="62" t="s">
        <v>54</v>
      </c>
      <c r="B20" s="63">
        <f t="array" ref="B20">round(xlookup(A20,Convert!O:O,Convert!E:E,"-"),1)</f>
        <v>119466.7</v>
      </c>
      <c r="C20" s="63">
        <f t="array" ref="C20">round(xlookup(A20,Convert!O:O,Convert!H:H,"-"),1)</f>
        <v>119466.7</v>
      </c>
      <c r="D20" s="64">
        <f t="array" ref="D20">XLOOKUP(A20,Convert!O:O,Convert!J:J,"-")</f>
        <v>0</v>
      </c>
      <c r="E20" s="64" t="str">
        <f>'บันทึกลองลิตร'!B20</f>
        <v/>
      </c>
      <c r="F20" s="63">
        <f t="shared" si="1"/>
        <v>0</v>
      </c>
      <c r="G20" s="65">
        <f t="array" ref="G20">XLOOKUP(A20,Convert!O:O,Convert!N:N,"-")</f>
        <v>0</v>
      </c>
      <c r="H20" s="65">
        <f t="array" ref="H20">XLOOKUP(A20,Convert!O:O,Convert!L:L,"-")</f>
        <v>0</v>
      </c>
      <c r="I20" s="65">
        <f t="shared" si="6"/>
        <v>0</v>
      </c>
      <c r="J20" s="65"/>
      <c r="K20" s="63"/>
      <c r="L20" s="66" t="s">
        <v>120</v>
      </c>
      <c r="M20" s="67">
        <f t="shared" si="7"/>
        <v>0</v>
      </c>
      <c r="N20" s="76">
        <f>sum(F17:F20)</f>
        <v>26.9</v>
      </c>
    </row>
    <row r="21">
      <c r="A21" s="69" t="s">
        <v>42</v>
      </c>
      <c r="B21" s="70">
        <f t="array" ref="B21">round(xlookup(A21,Convert!O:O,Convert!E:E,"-"),1)</f>
        <v>968661.6</v>
      </c>
      <c r="C21" s="70">
        <f t="array" ref="C21">round(xlookup(A21,Convert!O:O,Convert!H:H,"-"),1)</f>
        <v>969134.1</v>
      </c>
      <c r="D21" s="71">
        <f t="array" ref="D21">XLOOKUP(A21,Convert!O:O,Convert!J:J,"-")</f>
        <v>0</v>
      </c>
      <c r="E21" s="71" t="str">
        <f>'บันทึกลองลิตร'!B21</f>
        <v/>
      </c>
      <c r="F21" s="70">
        <f t="shared" si="1"/>
        <v>472.5</v>
      </c>
      <c r="G21" s="72">
        <f t="array" ref="G21">XLOOKUP(A21,Convert!O:O,Convert!N:N,"-")</f>
        <v>15506.5</v>
      </c>
      <c r="H21" s="72">
        <f t="array" ref="H21">XLOOKUP(A21,Convert!O:O,Convert!L:L,"-")</f>
        <v>472.55</v>
      </c>
      <c r="I21" s="72">
        <f t="shared" ref="I21:I22" si="8">H21*L$21</f>
        <v>15466.5615</v>
      </c>
      <c r="J21" s="72">
        <f>sum(G21:G22)/sum(H21:H22)</f>
        <v>32.8203803</v>
      </c>
      <c r="K21" s="73" t="s">
        <v>122</v>
      </c>
      <c r="L21" s="73">
        <f>Petrol_price!D7</f>
        <v>32.73</v>
      </c>
      <c r="M21" s="77">
        <f t="shared" ref="M21:M22" si="9">F21*$L$21</f>
        <v>15464.925</v>
      </c>
      <c r="N21" s="78"/>
    </row>
    <row r="22">
      <c r="A22" s="62" t="s">
        <v>46</v>
      </c>
      <c r="B22" s="63">
        <f t="array" ref="B22">round(xlookup(A22,Convert!O:O,Convert!E:E,"-"),1)</f>
        <v>232438.4</v>
      </c>
      <c r="C22" s="63">
        <f t="array" ref="C22">round(xlookup(A22,Convert!O:O,Convert!H:H,"-"),1)</f>
        <v>232527</v>
      </c>
      <c r="D22" s="64">
        <f t="array" ref="D22">XLOOKUP(A22,Convert!O:O,Convert!J:J,"-")</f>
        <v>0</v>
      </c>
      <c r="E22" s="64" t="str">
        <f>'บันทึกลองลิตร'!B22</f>
        <v/>
      </c>
      <c r="F22" s="63">
        <f t="shared" si="1"/>
        <v>88.6</v>
      </c>
      <c r="G22" s="65">
        <f t="array" ref="G22">XLOOKUP(A22,Convert!O:O,Convert!N:N,"-")</f>
        <v>2910</v>
      </c>
      <c r="H22" s="65">
        <f t="array" ref="H22">XLOOKUP(A22,Convert!O:O,Convert!L:L,"-")</f>
        <v>88.58</v>
      </c>
      <c r="I22" s="65">
        <f t="shared" si="8"/>
        <v>2899.2234</v>
      </c>
      <c r="J22" s="65"/>
      <c r="K22" s="63"/>
      <c r="L22" s="66" t="s">
        <v>120</v>
      </c>
      <c r="M22" s="79">
        <f t="shared" si="9"/>
        <v>2899.878</v>
      </c>
      <c r="N22" s="68">
        <f>sum(F21:F22)</f>
        <v>561.1</v>
      </c>
    </row>
    <row r="23">
      <c r="A23" s="69" t="s">
        <v>41</v>
      </c>
      <c r="B23" s="70">
        <f t="array" ref="B23">round(xlookup(A23,Convert!O:O,Convert!E:E,"-"),1)</f>
        <v>671031</v>
      </c>
      <c r="C23" s="70">
        <f t="array" ref="C23">round(xlookup(A23,Convert!O:O,Convert!H:H,"-"),1)</f>
        <v>671207.3</v>
      </c>
      <c r="D23" s="71">
        <f t="array" ref="D23">XLOOKUP(A23,Convert!O:O,Convert!J:J,"-")</f>
        <v>0</v>
      </c>
      <c r="E23" s="71" t="str">
        <f>'บันทึกลองลิตร'!B23</f>
        <v/>
      </c>
      <c r="F23" s="70">
        <f t="shared" si="1"/>
        <v>176.3</v>
      </c>
      <c r="G23" s="72">
        <f t="array" ref="G23">XLOOKUP(A23,Convert!O:O,Convert!N:N,"-")</f>
        <v>5470</v>
      </c>
      <c r="H23" s="72">
        <f t="array" ref="H23">XLOOKUP(A23,Convert!O:O,Convert!L:L,"-")</f>
        <v>176.34</v>
      </c>
      <c r="I23" s="72">
        <f t="shared" ref="I23:I26" si="10">H23*L$23</f>
        <v>5447.1426</v>
      </c>
      <c r="J23" s="72">
        <f>sum(G23:G26)/sum(H23:H26)</f>
        <v>31.01813817</v>
      </c>
      <c r="K23" s="73" t="s">
        <v>123</v>
      </c>
      <c r="L23" s="73">
        <f>Petrol_price!D6</f>
        <v>30.89</v>
      </c>
      <c r="M23" s="74">
        <f t="shared" ref="M23:M26" si="11">F23*$L$23</f>
        <v>5445.907</v>
      </c>
      <c r="N23" s="61"/>
    </row>
    <row r="24">
      <c r="A24" s="54" t="s">
        <v>45</v>
      </c>
      <c r="B24" s="55">
        <f t="array" ref="B24">round(xlookup(A24,Convert!O:O,Convert!E:E,"-"),1)</f>
        <v>135637</v>
      </c>
      <c r="C24" s="55">
        <f t="array" ref="C24">round(xlookup(A24,Convert!O:O,Convert!H:H,"-"),1)</f>
        <v>135643.4</v>
      </c>
      <c r="D24" s="39">
        <f t="array" ref="D24">XLOOKUP(A24,Convert!O:O,Convert!J:J,"-")</f>
        <v>0</v>
      </c>
      <c r="E24" s="39" t="str">
        <f>'บันทึกลองลิตร'!B24</f>
        <v/>
      </c>
      <c r="F24" s="55">
        <f t="shared" si="1"/>
        <v>6.4</v>
      </c>
      <c r="G24" s="56">
        <f t="array" ref="G24">XLOOKUP(A24,Convert!O:O,Convert!N:N,"-")</f>
        <v>200</v>
      </c>
      <c r="H24" s="56">
        <f t="array" ref="H24">XLOOKUP(A24,Convert!O:O,Convert!L:L,"-")</f>
        <v>6.47</v>
      </c>
      <c r="I24" s="56">
        <f t="shared" si="10"/>
        <v>199.8583</v>
      </c>
      <c r="J24" s="56"/>
      <c r="K24" s="55"/>
      <c r="L24" s="60" t="s">
        <v>120</v>
      </c>
      <c r="M24" s="58">
        <f t="shared" si="11"/>
        <v>197.696</v>
      </c>
      <c r="N24" s="61"/>
    </row>
    <row r="25">
      <c r="A25" s="54" t="s">
        <v>49</v>
      </c>
      <c r="B25" s="55">
        <f t="array" ref="B25">round(xlookup(A25,Convert!O:O,Convert!E:E,"-"),1)</f>
        <v>26296.7</v>
      </c>
      <c r="C25" s="55">
        <f t="array" ref="C25">round(xlookup(A25,Convert!O:O,Convert!H:H,"-"),1)</f>
        <v>26583.6</v>
      </c>
      <c r="D25" s="39">
        <f t="array" ref="D25">XLOOKUP(A25,Convert!O:O,Convert!J:J,"-")</f>
        <v>0</v>
      </c>
      <c r="E25" s="39" t="str">
        <f>'บันทึกลองลิตร'!B25</f>
        <v/>
      </c>
      <c r="F25" s="55">
        <f t="shared" si="1"/>
        <v>286.9</v>
      </c>
      <c r="G25" s="56">
        <f t="array" ref="G25">XLOOKUP(A25,Convert!O:O,Convert!N:N,"-")</f>
        <v>8906.7</v>
      </c>
      <c r="H25" s="56">
        <f t="array" ref="H25">XLOOKUP(A25,Convert!O:O,Convert!L:L,"-")</f>
        <v>286.9</v>
      </c>
      <c r="I25" s="56">
        <f t="shared" si="10"/>
        <v>8862.341</v>
      </c>
      <c r="J25" s="56"/>
      <c r="K25" s="55"/>
      <c r="L25" s="60" t="s">
        <v>120</v>
      </c>
      <c r="M25" s="58">
        <f t="shared" si="11"/>
        <v>8862.341</v>
      </c>
      <c r="N25" s="61"/>
    </row>
    <row r="26">
      <c r="A26" s="62" t="s">
        <v>53</v>
      </c>
      <c r="B26" s="63">
        <f t="array" ref="B26">round(xlookup(A26,Convert!O:O,Convert!E:E,"-"),1)</f>
        <v>237976.7</v>
      </c>
      <c r="C26" s="63">
        <f t="array" ref="C26">round(xlookup(A26,Convert!O:O,Convert!H:H,"-"),1)</f>
        <v>238040.1</v>
      </c>
      <c r="D26" s="64">
        <f t="array" ref="D26">XLOOKUP(A26,Convert!O:O,Convert!J:J,"-")</f>
        <v>0</v>
      </c>
      <c r="E26" s="64" t="str">
        <f>'บันทึกลองลิตร'!B26</f>
        <v/>
      </c>
      <c r="F26" s="63">
        <f t="shared" si="1"/>
        <v>63.4</v>
      </c>
      <c r="G26" s="65">
        <f t="array" ref="G26">XLOOKUP(A26,Convert!O:O,Convert!N:N,"-")</f>
        <v>1960</v>
      </c>
      <c r="H26" s="65">
        <f t="array" ref="H26">XLOOKUP(A26,Convert!O:O,Convert!L:L,"-")</f>
        <v>63.42</v>
      </c>
      <c r="I26" s="65">
        <f t="shared" si="10"/>
        <v>1959.0438</v>
      </c>
      <c r="J26" s="65"/>
      <c r="K26" s="63"/>
      <c r="L26" s="66" t="s">
        <v>120</v>
      </c>
      <c r="M26" s="67">
        <f t="shared" si="11"/>
        <v>1958.426</v>
      </c>
      <c r="N26" s="68">
        <f>sum(F23:F26)</f>
        <v>533</v>
      </c>
    </row>
    <row r="27">
      <c r="A27" s="69" t="s">
        <v>21</v>
      </c>
      <c r="B27" s="70">
        <f t="array" ref="B27">round(xlookup(A27,Convert!O:O,Convert!E:E,"-"),1)</f>
        <v>898043.9</v>
      </c>
      <c r="C27" s="70">
        <f t="array" ref="C27">round(xlookup(A27,Convert!O:O,Convert!H:H,"-"),1)</f>
        <v>898412</v>
      </c>
      <c r="D27" s="71">
        <f t="array" ref="D27">XLOOKUP(A27,Convert!O:O,Convert!J:J,"-")</f>
        <v>0</v>
      </c>
      <c r="E27" s="71" t="str">
        <f>'บันทึกลองลิตร'!B27</f>
        <v/>
      </c>
      <c r="F27" s="70">
        <f t="shared" si="1"/>
        <v>368.1</v>
      </c>
      <c r="G27" s="72">
        <f t="array" ref="G27">XLOOKUP(A27,Convert!O:O,Convert!N:N,"-")</f>
        <v>12240</v>
      </c>
      <c r="H27" s="72">
        <f t="array" ref="H27">XLOOKUP(A27,Convert!O:O,Convert!L:L,"-")</f>
        <v>368.04</v>
      </c>
      <c r="I27" s="72">
        <f t="shared" ref="I27:I32" si="12">H27*L$27</f>
        <v>12182.124</v>
      </c>
      <c r="J27" s="72">
        <f>sum(G27:G32)/sum(H27:H32)</f>
        <v>33.23311833</v>
      </c>
      <c r="K27" s="73" t="s">
        <v>124</v>
      </c>
      <c r="L27" s="73">
        <f>Petrol_price!D8</f>
        <v>33.1</v>
      </c>
      <c r="M27" s="74">
        <f t="shared" ref="M27:M32" si="13">F27*$L$27</f>
        <v>12184.11</v>
      </c>
      <c r="N27" s="61"/>
    </row>
    <row r="28">
      <c r="A28" s="54" t="s">
        <v>27</v>
      </c>
      <c r="B28" s="55">
        <f t="array" ref="B28">round(xlookup(A28,Convert!O:O,Convert!E:E,"-"),1)</f>
        <v>349559.4</v>
      </c>
      <c r="C28" s="55">
        <f t="array" ref="C28">round(xlookup(A28,Convert!O:O,Convert!H:H,"-"),1)</f>
        <v>349729.2</v>
      </c>
      <c r="D28" s="39">
        <f t="array" ref="D28">XLOOKUP(A28,Convert!O:O,Convert!J:J,"-")</f>
        <v>0</v>
      </c>
      <c r="E28" s="39" t="str">
        <f>'บันทึกลองลิตร'!B28</f>
        <v/>
      </c>
      <c r="F28" s="55">
        <f t="shared" si="1"/>
        <v>169.8</v>
      </c>
      <c r="G28" s="56">
        <f t="array" ref="G28">XLOOKUP(A28,Convert!O:O,Convert!N:N,"-")</f>
        <v>5650</v>
      </c>
      <c r="H28" s="56">
        <f t="array" ref="H28">XLOOKUP(A28,Convert!O:O,Convert!L:L,"-")</f>
        <v>169.74</v>
      </c>
      <c r="I28" s="56">
        <f t="shared" si="12"/>
        <v>5618.394</v>
      </c>
      <c r="J28" s="56"/>
      <c r="K28" s="55"/>
      <c r="L28" s="60" t="s">
        <v>120</v>
      </c>
      <c r="M28" s="58">
        <f t="shared" si="13"/>
        <v>5620.38</v>
      </c>
      <c r="N28" s="61"/>
    </row>
    <row r="29">
      <c r="A29" s="54" t="s">
        <v>31</v>
      </c>
      <c r="B29" s="55">
        <f t="array" ref="B29">round(xlookup(A29,Convert!O:O,Convert!E:E,"-"),1)</f>
        <v>147285.8</v>
      </c>
      <c r="C29" s="55">
        <f t="array" ref="C29">round(xlookup(A29,Convert!O:O,Convert!H:H,"-"),1)</f>
        <v>147810.2</v>
      </c>
      <c r="D29" s="39">
        <f t="array" ref="D29">XLOOKUP(A29,Convert!O:O,Convert!J:J,"-")</f>
        <v>0</v>
      </c>
      <c r="E29" s="39" t="str">
        <f>'บันทึกลองลิตร'!B29</f>
        <v/>
      </c>
      <c r="F29" s="55">
        <f t="shared" si="1"/>
        <v>524.4</v>
      </c>
      <c r="G29" s="56">
        <f t="array" ref="G29">XLOOKUP(A29,Convert!O:O,Convert!N:N,"-")</f>
        <v>17440</v>
      </c>
      <c r="H29" s="56">
        <f t="array" ref="H29">XLOOKUP(A29,Convert!O:O,Convert!L:L,"-")</f>
        <v>524.44</v>
      </c>
      <c r="I29" s="56">
        <f t="shared" si="12"/>
        <v>17358.964</v>
      </c>
      <c r="J29" s="56"/>
      <c r="K29" s="55"/>
      <c r="L29" s="60" t="s">
        <v>120</v>
      </c>
      <c r="M29" s="58">
        <f t="shared" si="13"/>
        <v>17357.64</v>
      </c>
      <c r="N29" s="61"/>
    </row>
    <row r="30">
      <c r="A30" s="54" t="s">
        <v>36</v>
      </c>
      <c r="B30" s="55">
        <f t="array" ref="B30">round(xlookup(A30,Convert!O:O,Convert!E:E,"-"),1)</f>
        <v>417774.8</v>
      </c>
      <c r="C30" s="55">
        <f t="array" ref="C30">round(xlookup(A30,Convert!O:O,Convert!H:H,"-"),1)</f>
        <v>417839.2</v>
      </c>
      <c r="D30" s="39">
        <f t="array" ref="D30">XLOOKUP(A30,Convert!O:O,Convert!J:J,"-")</f>
        <v>0</v>
      </c>
      <c r="E30" s="39" t="str">
        <f>'บันทึกลองลิตร'!B30</f>
        <v/>
      </c>
      <c r="F30" s="55">
        <f t="shared" si="1"/>
        <v>64.4</v>
      </c>
      <c r="G30" s="56">
        <f t="array" ref="G30">XLOOKUP(A30,Convert!O:O,Convert!N:N,"-")</f>
        <v>2136</v>
      </c>
      <c r="H30" s="56">
        <f t="array" ref="H30">XLOOKUP(A30,Convert!O:O,Convert!L:L,"-")</f>
        <v>64.4</v>
      </c>
      <c r="I30" s="56">
        <f t="shared" si="12"/>
        <v>2131.64</v>
      </c>
      <c r="J30" s="56"/>
      <c r="K30" s="55"/>
      <c r="L30" s="60" t="s">
        <v>120</v>
      </c>
      <c r="M30" s="58">
        <f t="shared" si="13"/>
        <v>2131.64</v>
      </c>
      <c r="N30" s="61"/>
    </row>
    <row r="31">
      <c r="A31" s="54" t="s">
        <v>67</v>
      </c>
      <c r="B31" s="55">
        <f t="array" ref="B31">round(xlookup(A31,Convert!O:O,Convert!E:E,"-"),1)</f>
        <v>906948.3</v>
      </c>
      <c r="C31" s="55">
        <f t="array" ref="C31">round(xlookup(A31,Convert!O:O,Convert!H:H,"-"),1)</f>
        <v>907159</v>
      </c>
      <c r="D31" s="39">
        <f t="array" ref="D31">XLOOKUP(A31,Convert!O:O,Convert!J:J,"-")</f>
        <v>0</v>
      </c>
      <c r="E31" s="39" t="str">
        <f>'บันทึกลองลิตร'!B31</f>
        <v/>
      </c>
      <c r="F31" s="55">
        <f t="shared" si="1"/>
        <v>210.7</v>
      </c>
      <c r="G31" s="56">
        <f t="array" ref="G31">XLOOKUP(A31,Convert!O:O,Convert!N:N,"-")</f>
        <v>6981.5</v>
      </c>
      <c r="H31" s="56">
        <f t="array" ref="H31">XLOOKUP(A31,Convert!O:O,Convert!L:L,"-")</f>
        <v>210.76</v>
      </c>
      <c r="I31" s="56">
        <f t="shared" si="12"/>
        <v>6976.156</v>
      </c>
      <c r="J31" s="56"/>
      <c r="K31" s="55"/>
      <c r="L31" s="60" t="s">
        <v>120</v>
      </c>
      <c r="M31" s="58">
        <f t="shared" si="13"/>
        <v>6974.17</v>
      </c>
      <c r="N31" s="61"/>
    </row>
    <row r="32">
      <c r="A32" s="62" t="s">
        <v>71</v>
      </c>
      <c r="B32" s="63">
        <f t="array" ref="B32">round(xlookup(A32,Convert!O:O,Convert!E:E,"-"),1)</f>
        <v>317583.7</v>
      </c>
      <c r="C32" s="63">
        <f t="array" ref="C32">round(xlookup(A32,Convert!O:O,Convert!H:H,"-"),1)</f>
        <v>317618.3</v>
      </c>
      <c r="D32" s="64">
        <f t="array" ref="D32">XLOOKUP(A32,Convert!O:O,Convert!J:J,"-")</f>
        <v>0</v>
      </c>
      <c r="E32" s="64" t="str">
        <f>'บันทึกลองลิตร'!B32</f>
        <v/>
      </c>
      <c r="F32" s="63">
        <f t="shared" si="1"/>
        <v>34.6</v>
      </c>
      <c r="G32" s="65">
        <f t="array" ref="G32">XLOOKUP(A32,Convert!O:O,Convert!N:N,"-")</f>
        <v>1150</v>
      </c>
      <c r="H32" s="65">
        <f t="array" ref="H32">XLOOKUP(A32,Convert!O:O,Convert!L:L,"-")</f>
        <v>34.67</v>
      </c>
      <c r="I32" s="65">
        <f t="shared" si="12"/>
        <v>1147.577</v>
      </c>
      <c r="J32" s="80"/>
      <c r="K32" s="81"/>
      <c r="L32" s="66" t="s">
        <v>120</v>
      </c>
      <c r="M32" s="67">
        <f t="shared" si="13"/>
        <v>1145.26</v>
      </c>
      <c r="N32" s="68">
        <f>sum(F27:F32)</f>
        <v>1372</v>
      </c>
    </row>
    <row r="33">
      <c r="A33" s="69" t="s">
        <v>66</v>
      </c>
      <c r="B33" s="70">
        <f t="array" ref="B33">round(xlookup(A33,Convert!O:O,Convert!E:E,"-"),1)</f>
        <v>211870.9</v>
      </c>
      <c r="C33" s="70">
        <f t="array" ref="C33">round(xlookup(A33,Convert!O:O,Convert!H:H,"-"),1)</f>
        <v>211907.5</v>
      </c>
      <c r="D33" s="71">
        <f t="array" ref="D33">XLOOKUP(A33,Convert!O:O,Convert!J:J,"-")</f>
        <v>0</v>
      </c>
      <c r="E33" s="71" t="str">
        <f>'บันทึกลองลิตร'!B33</f>
        <v/>
      </c>
      <c r="F33" s="70">
        <f t="shared" si="1"/>
        <v>36.6</v>
      </c>
      <c r="G33" s="72">
        <f t="array" ref="G33">XLOOKUP(A33,Convert!O:O,Convert!N:N,"-")</f>
        <v>1080</v>
      </c>
      <c r="H33" s="72">
        <f t="array" ref="H33">XLOOKUP(A33,Convert!O:O,Convert!L:L,"-")</f>
        <v>36.57</v>
      </c>
      <c r="I33" s="72">
        <f t="shared" ref="I33:I36" si="14">H33*L$33</f>
        <v>1069.3068</v>
      </c>
      <c r="J33" s="72">
        <f>sum(G33:G36)/sum(H33:H36)</f>
        <v>29.44364162</v>
      </c>
      <c r="K33" s="73" t="s">
        <v>97</v>
      </c>
      <c r="L33" s="73">
        <f>Petrol_price!D5</f>
        <v>29.24</v>
      </c>
      <c r="M33" s="74">
        <f t="shared" ref="M33:M36" si="15">F33*$L$33</f>
        <v>1070.184</v>
      </c>
      <c r="N33" s="61"/>
    </row>
    <row r="34">
      <c r="A34" s="54" t="s">
        <v>70</v>
      </c>
      <c r="B34" s="55">
        <f t="array" ref="B34">round(xlookup(A34,Convert!O:O,Convert!E:E,"-"),1)</f>
        <v>55508.7</v>
      </c>
      <c r="C34" s="55">
        <f t="array" ref="C34">round(xlookup(A34,Convert!O:O,Convert!H:H,"-"),1)</f>
        <v>55510.4</v>
      </c>
      <c r="D34" s="39">
        <f t="array" ref="D34">XLOOKUP(A34,Convert!O:O,Convert!J:J,"-")</f>
        <v>0</v>
      </c>
      <c r="E34" s="39" t="str">
        <f>'บันทึกลองลิตร'!B34</f>
        <v/>
      </c>
      <c r="F34" s="55">
        <f t="shared" si="1"/>
        <v>1.7</v>
      </c>
      <c r="G34" s="56">
        <f t="array" ref="G34">XLOOKUP(A34,Convert!O:O,Convert!N:N,"-")</f>
        <v>50</v>
      </c>
      <c r="H34" s="56">
        <f t="array" ref="H34">XLOOKUP(A34,Convert!O:O,Convert!L:L,"-")</f>
        <v>1.69</v>
      </c>
      <c r="I34" s="56">
        <f t="shared" si="14"/>
        <v>49.4156</v>
      </c>
      <c r="J34" s="56"/>
      <c r="K34" s="55"/>
      <c r="L34" s="60" t="s">
        <v>120</v>
      </c>
      <c r="M34" s="58">
        <f t="shared" si="15"/>
        <v>49.708</v>
      </c>
      <c r="N34" s="61"/>
    </row>
    <row r="35">
      <c r="A35" s="54" t="s">
        <v>80</v>
      </c>
      <c r="B35" s="55">
        <f t="array" ref="B35">round(xlookup(A35,Convert!O:O,Convert!E:E,"-"),1)</f>
        <v>226061.5</v>
      </c>
      <c r="C35" s="55">
        <f t="array" ref="C35">round(xlookup(A35,Convert!O:O,Convert!H:H,"-"),1)</f>
        <v>226078.6</v>
      </c>
      <c r="D35" s="39">
        <f t="array" ref="D35">XLOOKUP(A35,Convert!O:O,Convert!J:J,"-")</f>
        <v>0</v>
      </c>
      <c r="E35" s="39" t="str">
        <f>'บันทึกลองลิตร'!B35</f>
        <v/>
      </c>
      <c r="F35" s="55">
        <f t="shared" si="1"/>
        <v>17.1</v>
      </c>
      <c r="G35" s="56">
        <f t="array" ref="G35">XLOOKUP(A35,Convert!O:O,Convert!N:N,"-")</f>
        <v>500</v>
      </c>
      <c r="H35" s="56">
        <f t="array" ref="H35">XLOOKUP(A35,Convert!O:O,Convert!L:L,"-")</f>
        <v>17.1</v>
      </c>
      <c r="I35" s="56">
        <f t="shared" si="14"/>
        <v>500.004</v>
      </c>
      <c r="J35" s="56"/>
      <c r="K35" s="55"/>
      <c r="L35" s="60" t="s">
        <v>120</v>
      </c>
      <c r="M35" s="58">
        <f t="shared" si="15"/>
        <v>500.004</v>
      </c>
      <c r="N35" s="61"/>
    </row>
    <row r="36">
      <c r="A36" s="62" t="s">
        <v>84</v>
      </c>
      <c r="B36" s="63">
        <f t="array" ref="B36">round(xlookup(A36,Convert!O:O,Convert!E:E,"-"),1)</f>
        <v>39325.3</v>
      </c>
      <c r="C36" s="63">
        <f t="array" ref="C36">round(xlookup(A36,Convert!O:O,Convert!H:H,"-"),1)</f>
        <v>39325.3</v>
      </c>
      <c r="D36" s="64">
        <f t="array" ref="D36">XLOOKUP(A36,Convert!O:O,Convert!J:J,"-")</f>
        <v>0</v>
      </c>
      <c r="E36" s="64" t="str">
        <f>'บันทึกลองลิตร'!B36</f>
        <v/>
      </c>
      <c r="F36" s="63">
        <f t="shared" si="1"/>
        <v>0</v>
      </c>
      <c r="G36" s="65">
        <f t="array" ref="G36">XLOOKUP(A36,Convert!O:O,Convert!N:N,"-")</f>
        <v>0</v>
      </c>
      <c r="H36" s="65">
        <f t="array" ref="H36">XLOOKUP(A36,Convert!O:O,Convert!L:L,"-")</f>
        <v>0</v>
      </c>
      <c r="I36" s="65">
        <f t="shared" si="14"/>
        <v>0</v>
      </c>
      <c r="J36" s="65"/>
      <c r="K36" s="63"/>
      <c r="L36" s="66" t="s">
        <v>120</v>
      </c>
      <c r="M36" s="67">
        <f t="shared" si="15"/>
        <v>0</v>
      </c>
      <c r="N36" s="68">
        <f>sum(F33:F36)</f>
        <v>55.4</v>
      </c>
    </row>
    <row r="37">
      <c r="A37" s="69" t="s">
        <v>23</v>
      </c>
      <c r="B37" s="70">
        <f t="array" ref="B37">round(xlookup(A37,Convert!O:O,Convert!E:E,"-"),1)</f>
        <v>120488.5</v>
      </c>
      <c r="C37" s="70">
        <f t="array" ref="C37">round(xlookup(A37,Convert!O:O,Convert!H:H,"-"),1)</f>
        <v>121097.6</v>
      </c>
      <c r="D37" s="71">
        <f t="array" ref="D37">XLOOKUP(A37,Convert!O:O,Convert!J:J,"-")</f>
        <v>0</v>
      </c>
      <c r="E37" s="71" t="str">
        <f>'บันทึกลองลิตร'!B37</f>
        <v/>
      </c>
      <c r="F37" s="70">
        <f t="shared" si="1"/>
        <v>609.1</v>
      </c>
      <c r="G37" s="72">
        <f t="array" ref="G37">XLOOKUP(A37,Convert!O:O,Convert!N:N,"-")</f>
        <v>19994.3</v>
      </c>
      <c r="H37" s="72">
        <f t="array" ref="H37">XLOOKUP(A37,Convert!O:O,Convert!L:L,"-")</f>
        <v>609.04</v>
      </c>
      <c r="I37" s="72">
        <f t="shared" ref="I37:I40" si="16">H37*L$37</f>
        <v>19933.8792</v>
      </c>
      <c r="J37" s="72">
        <f>sum(G37:G40)/sum(H37:H40)</f>
        <v>32.82030071</v>
      </c>
      <c r="K37" s="73" t="s">
        <v>122</v>
      </c>
      <c r="L37" s="73">
        <f>Petrol_price!D7</f>
        <v>32.73</v>
      </c>
      <c r="M37" s="74">
        <f t="shared" ref="M37:M40" si="17">F37*$L$37</f>
        <v>19935.843</v>
      </c>
      <c r="N37" s="61"/>
    </row>
    <row r="38">
      <c r="A38" s="54" t="s">
        <v>28</v>
      </c>
      <c r="B38" s="55">
        <f t="array" ref="B38">round(xlookup(A38,Convert!O:O,Convert!E:E,"-"),1)</f>
        <v>532555.7</v>
      </c>
      <c r="C38" s="55">
        <f t="array" ref="C38">round(xlookup(A38,Convert!O:O,Convert!H:H,"-"),1)</f>
        <v>532854.6</v>
      </c>
      <c r="D38" s="39">
        <f t="array" ref="D38">XLOOKUP(A38,Convert!O:O,Convert!J:J,"-")</f>
        <v>0</v>
      </c>
      <c r="E38" s="39" t="str">
        <f>'บันทึกลองลิตร'!B38</f>
        <v/>
      </c>
      <c r="F38" s="55">
        <f t="shared" si="1"/>
        <v>298.9</v>
      </c>
      <c r="G38" s="56">
        <f t="array" ref="G38">XLOOKUP(A38,Convert!O:O,Convert!N:N,"-")</f>
        <v>9820</v>
      </c>
      <c r="H38" s="56">
        <f t="array" ref="H38">XLOOKUP(A38,Convert!O:O,Convert!L:L,"-")</f>
        <v>298.93</v>
      </c>
      <c r="I38" s="56">
        <f t="shared" si="16"/>
        <v>9783.9789</v>
      </c>
      <c r="J38" s="56"/>
      <c r="K38" s="55"/>
      <c r="L38" s="60" t="s">
        <v>120</v>
      </c>
      <c r="M38" s="58">
        <f t="shared" si="17"/>
        <v>9782.997</v>
      </c>
      <c r="N38" s="61"/>
    </row>
    <row r="39">
      <c r="A39" s="54" t="s">
        <v>58</v>
      </c>
      <c r="B39" s="55">
        <f t="array" ref="B39">round(xlookup(A39,Convert!O:O,Convert!E:E,"-"),1)</f>
        <v>717893.2</v>
      </c>
      <c r="C39" s="55">
        <f t="array" ref="C39">round(xlookup(A39,Convert!O:O,Convert!H:H,"-"),1)</f>
        <v>718077.7</v>
      </c>
      <c r="D39" s="39">
        <f t="array" ref="D39">XLOOKUP(A39,Convert!O:O,Convert!J:J,"-")</f>
        <v>0</v>
      </c>
      <c r="E39" s="39" t="str">
        <f>'บันทึกลองลิตร'!B39</f>
        <v/>
      </c>
      <c r="F39" s="55">
        <f t="shared" si="1"/>
        <v>184.5</v>
      </c>
      <c r="G39" s="56">
        <f t="array" ref="G39">XLOOKUP(A39,Convert!O:O,Convert!N:N,"-")</f>
        <v>6040</v>
      </c>
      <c r="H39" s="56">
        <f t="array" ref="H39">XLOOKUP(A39,Convert!O:O,Convert!L:L,"-")</f>
        <v>184.49</v>
      </c>
      <c r="I39" s="56">
        <f t="shared" si="16"/>
        <v>6038.3577</v>
      </c>
      <c r="J39" s="56"/>
      <c r="K39" s="55"/>
      <c r="L39" s="60" t="s">
        <v>120</v>
      </c>
      <c r="M39" s="58">
        <f t="shared" si="17"/>
        <v>6038.685</v>
      </c>
      <c r="N39" s="61"/>
    </row>
    <row r="40">
      <c r="A40" s="62" t="s">
        <v>62</v>
      </c>
      <c r="B40" s="63">
        <f t="array" ref="B40">round(xlookup(A40,Convert!O:O,Convert!E:E,"-"),1)</f>
        <v>218461.6</v>
      </c>
      <c r="C40" s="63">
        <f t="array" ref="C40">round(xlookup(A40,Convert!O:O,Convert!H:H,"-"),1)</f>
        <v>218469.2</v>
      </c>
      <c r="D40" s="64">
        <f t="array" ref="D40">XLOOKUP(A40,Convert!O:O,Convert!J:J,"-")</f>
        <v>0</v>
      </c>
      <c r="E40" s="64" t="str">
        <f>'บันทึกลองลิตร'!B40</f>
        <v/>
      </c>
      <c r="F40" s="63">
        <f t="shared" si="1"/>
        <v>7.6</v>
      </c>
      <c r="G40" s="65">
        <f t="array" ref="G40">XLOOKUP(A40,Convert!O:O,Convert!N:N,"-")</f>
        <v>250</v>
      </c>
      <c r="H40" s="65">
        <f t="array" ref="H40">XLOOKUP(A40,Convert!O:O,Convert!L:L,"-")</f>
        <v>7.6</v>
      </c>
      <c r="I40" s="65">
        <f t="shared" si="16"/>
        <v>248.748</v>
      </c>
      <c r="J40" s="65"/>
      <c r="K40" s="63"/>
      <c r="L40" s="66" t="s">
        <v>120</v>
      </c>
      <c r="M40" s="67">
        <f t="shared" si="17"/>
        <v>248.748</v>
      </c>
      <c r="N40" s="76">
        <f>sum(F37:F40)</f>
        <v>1100.1</v>
      </c>
    </row>
    <row r="41">
      <c r="A41" s="69" t="s">
        <v>82</v>
      </c>
      <c r="B41" s="70">
        <f t="array" ref="B41">round(xlookup(A41,Convert!O:O,Convert!E:E,"-"),1)</f>
        <v>173313.9</v>
      </c>
      <c r="C41" s="70">
        <f t="array" ref="C41">round(xlookup(A41,Convert!O:O,Convert!H:H,"-"),1)</f>
        <v>173313.9</v>
      </c>
      <c r="D41" s="71">
        <f t="array" ref="D41">XLOOKUP(A41,Convert!O:O,Convert!J:J,"-")</f>
        <v>0</v>
      </c>
      <c r="E41" s="71" t="str">
        <f>'บันทึกลองลิตร'!B41</f>
        <v/>
      </c>
      <c r="F41" s="70">
        <f t="shared" si="1"/>
        <v>0</v>
      </c>
      <c r="G41" s="72">
        <f t="array" ref="G41">XLOOKUP(A41,Convert!O:O,Convert!N:N,"-")</f>
        <v>0</v>
      </c>
      <c r="H41" s="72">
        <f t="array" ref="H41">XLOOKUP(A41,Convert!O:O,Convert!L:L,"-")</f>
        <v>0</v>
      </c>
      <c r="I41" s="72">
        <f t="shared" ref="I41:I42" si="18">H41*L$41</f>
        <v>0</v>
      </c>
      <c r="J41" s="72">
        <f>sum(G41:G42)/sum(H41:H42)</f>
        <v>42.01680672</v>
      </c>
      <c r="K41" s="73" t="s">
        <v>125</v>
      </c>
      <c r="L41" s="73">
        <f>Petrol_price!D3</f>
        <v>41.69</v>
      </c>
      <c r="M41" s="77">
        <f t="shared" ref="M41:M42" si="19">F41*$L$41</f>
        <v>0</v>
      </c>
      <c r="N41" s="78"/>
    </row>
    <row r="42">
      <c r="A42" s="62" t="s">
        <v>85</v>
      </c>
      <c r="B42" s="63">
        <f t="array" ref="B42">round(xlookup(A42,Convert!O:O,Convert!E:E,"-"),1)</f>
        <v>71565.9</v>
      </c>
      <c r="C42" s="63">
        <f t="array" ref="C42">round(xlookup(A42,Convert!O:O,Convert!H:H,"-"),1)</f>
        <v>71570.6</v>
      </c>
      <c r="D42" s="64">
        <f t="array" ref="D42">XLOOKUP(A42,Convert!O:O,Convert!J:J,"-")</f>
        <v>0</v>
      </c>
      <c r="E42" s="64" t="str">
        <f>'บันทึกลองลิตร'!B42</f>
        <v/>
      </c>
      <c r="F42" s="63">
        <f t="shared" si="1"/>
        <v>4.7</v>
      </c>
      <c r="G42" s="65">
        <f t="array" ref="G42">XLOOKUP(A42,Convert!O:O,Convert!N:N,"-")</f>
        <v>200</v>
      </c>
      <c r="H42" s="65">
        <f t="array" ref="H42">XLOOKUP(A42,Convert!O:O,Convert!L:L,"-")</f>
        <v>4.76</v>
      </c>
      <c r="I42" s="65">
        <f t="shared" si="18"/>
        <v>198.4444</v>
      </c>
      <c r="J42" s="65"/>
      <c r="K42" s="63"/>
      <c r="L42" s="66" t="s">
        <v>120</v>
      </c>
      <c r="M42" s="79">
        <f t="shared" si="19"/>
        <v>195.943</v>
      </c>
      <c r="N42" s="68">
        <f>sum(F41:F42)</f>
        <v>4.7</v>
      </c>
    </row>
    <row r="43">
      <c r="A43" s="69" t="s">
        <v>57</v>
      </c>
      <c r="B43" s="70">
        <f t="array" ref="B43">round(xlookup(A43,Convert!O:O,Convert!E:E,"-"),1)</f>
        <v>381595.8</v>
      </c>
      <c r="C43" s="70">
        <f t="array" ref="C43">round(xlookup(A43,Convert!O:O,Convert!H:H,"-"),1)</f>
        <v>381650.7</v>
      </c>
      <c r="D43" s="71">
        <f t="array" ref="D43">XLOOKUP(A43,Convert!O:O,Convert!J:J,"-")</f>
        <v>0</v>
      </c>
      <c r="E43" s="71" t="str">
        <f>'บันทึกลองลิตร'!B43</f>
        <v/>
      </c>
      <c r="F43" s="70">
        <f t="shared" si="1"/>
        <v>54.9</v>
      </c>
      <c r="G43" s="72">
        <f t="array" ref="G43">XLOOKUP(A43,Convert!O:O,Convert!N:N,"-")</f>
        <v>1700</v>
      </c>
      <c r="H43" s="72">
        <f t="array" ref="H43">XLOOKUP(A43,Convert!O:O,Convert!L:L,"-")</f>
        <v>54.84</v>
      </c>
      <c r="I43" s="72">
        <f t="shared" ref="I43:I46" si="20">H43*L$43</f>
        <v>1694.0076</v>
      </c>
      <c r="J43" s="72">
        <f>sum(G43:G46)/sum(H43:H46)</f>
        <v>30.90737797</v>
      </c>
      <c r="K43" s="73" t="s">
        <v>123</v>
      </c>
      <c r="L43" s="73">
        <f>Petrol_price!D6</f>
        <v>30.89</v>
      </c>
      <c r="M43" s="74">
        <f t="shared" ref="M43:M46" si="21">F43*$L$43</f>
        <v>1695.861</v>
      </c>
      <c r="N43" s="61"/>
    </row>
    <row r="44">
      <c r="A44" s="54" t="s">
        <v>61</v>
      </c>
      <c r="B44" s="55">
        <f t="array" ref="B44">round(xlookup(A44,Convert!O:O,Convert!E:E,"-"),1)</f>
        <v>81126.7</v>
      </c>
      <c r="C44" s="55">
        <f t="array" ref="C44">round(xlookup(A44,Convert!O:O,Convert!H:H,"-"),1)</f>
        <v>81133.2</v>
      </c>
      <c r="D44" s="39">
        <f t="array" ref="D44">XLOOKUP(A44,Convert!O:O,Convert!J:J,"-")</f>
        <v>0</v>
      </c>
      <c r="E44" s="39" t="str">
        <f>'บันทึกลองลิตร'!B44</f>
        <v/>
      </c>
      <c r="F44" s="55">
        <f t="shared" si="1"/>
        <v>6.5</v>
      </c>
      <c r="G44" s="56">
        <f t="array" ref="G44">XLOOKUP(A44,Convert!O:O,Convert!N:N,"-")</f>
        <v>200</v>
      </c>
      <c r="H44" s="56">
        <f t="array" ref="H44">XLOOKUP(A44,Convert!O:O,Convert!L:L,"-")</f>
        <v>6.48</v>
      </c>
      <c r="I44" s="56">
        <f t="shared" si="20"/>
        <v>200.1672</v>
      </c>
      <c r="J44" s="56"/>
      <c r="K44" s="55"/>
      <c r="L44" s="60" t="s">
        <v>120</v>
      </c>
      <c r="M44" s="58">
        <f t="shared" si="21"/>
        <v>200.785</v>
      </c>
      <c r="N44" s="61"/>
    </row>
    <row r="45">
      <c r="A45" s="54" t="s">
        <v>74</v>
      </c>
      <c r="B45" s="55">
        <f t="array" ref="B45">round(xlookup(A45,Convert!O:O,Convert!E:E,"-"),1)</f>
        <v>151049.7</v>
      </c>
      <c r="C45" s="55">
        <f t="array" ref="C45">round(xlookup(A45,Convert!O:O,Convert!H:H,"-"),1)</f>
        <v>151128</v>
      </c>
      <c r="D45" s="39">
        <f t="array" ref="D45">XLOOKUP(A45,Convert!O:O,Convert!J:J,"-")</f>
        <v>0</v>
      </c>
      <c r="E45" s="39" t="str">
        <f>'บันทึกลองลิตร'!B45</f>
        <v/>
      </c>
      <c r="F45" s="55">
        <f t="shared" si="1"/>
        <v>78.3</v>
      </c>
      <c r="G45" s="56">
        <f t="array" ref="G45">XLOOKUP(A45,Convert!O:O,Convert!N:N,"-")</f>
        <v>2420</v>
      </c>
      <c r="H45" s="56">
        <f t="array" ref="H45">XLOOKUP(A45,Convert!O:O,Convert!L:L,"-")</f>
        <v>78.34</v>
      </c>
      <c r="I45" s="56">
        <f t="shared" si="20"/>
        <v>2419.9226</v>
      </c>
      <c r="J45" s="56"/>
      <c r="K45" s="55"/>
      <c r="L45" s="60" t="s">
        <v>120</v>
      </c>
      <c r="M45" s="58">
        <f t="shared" si="21"/>
        <v>2418.687</v>
      </c>
      <c r="N45" s="61"/>
    </row>
    <row r="46">
      <c r="A46" s="62" t="s">
        <v>77</v>
      </c>
      <c r="B46" s="63">
        <f t="array" ref="B46">round(xlookup(A46,Convert!O:O,Convert!E:E,"-"),1)</f>
        <v>16718.2</v>
      </c>
      <c r="C46" s="63">
        <f t="array" ref="C46">round(xlookup(A46,Convert!O:O,Convert!H:H,"-"),1)</f>
        <v>16918.2</v>
      </c>
      <c r="D46" s="64">
        <f t="array" ref="D46">XLOOKUP(A46,Convert!O:O,Convert!J:J,"-")</f>
        <v>0</v>
      </c>
      <c r="E46" s="64" t="str">
        <f>'บันทึกลองลิตร'!B46</f>
        <v/>
      </c>
      <c r="F46" s="63">
        <f t="shared" si="1"/>
        <v>200</v>
      </c>
      <c r="G46" s="65">
        <f t="array" ref="G46">XLOOKUP(A46,Convert!O:O,Convert!N:N,"-")</f>
        <v>6178</v>
      </c>
      <c r="H46" s="65">
        <f t="array" ref="H46">XLOOKUP(A46,Convert!O:O,Convert!L:L,"-")</f>
        <v>200</v>
      </c>
      <c r="I46" s="65">
        <f t="shared" si="20"/>
        <v>6178</v>
      </c>
      <c r="J46" s="65"/>
      <c r="K46" s="63"/>
      <c r="L46" s="66" t="s">
        <v>120</v>
      </c>
      <c r="M46" s="67">
        <f t="shared" si="21"/>
        <v>6178</v>
      </c>
      <c r="N46" s="68">
        <f>sum(F43:F46)</f>
        <v>339.7</v>
      </c>
    </row>
    <row r="47">
      <c r="A47" s="82"/>
      <c r="G47" s="41"/>
      <c r="H47" s="41"/>
      <c r="I47" s="41"/>
      <c r="J47" s="41"/>
      <c r="K47" s="83" t="s">
        <v>106</v>
      </c>
      <c r="L47" s="84"/>
      <c r="M47" s="85">
        <f>SUM(M3:M46)</f>
        <v>412313.631</v>
      </c>
      <c r="N47" s="41"/>
    </row>
    <row r="48">
      <c r="A48" s="42" t="str">
        <f>Petrol_price!E9</f>
        <v>ปรับราคา</v>
      </c>
      <c r="B48" s="42"/>
      <c r="C48" s="42"/>
      <c r="G48" s="41"/>
      <c r="H48" s="41"/>
      <c r="I48" s="41"/>
      <c r="J48" s="41"/>
      <c r="K48" s="86" t="s">
        <v>126</v>
      </c>
      <c r="L48" s="87"/>
      <c r="M48" s="88">
        <f>Convert!N68</f>
        <v>412740.2</v>
      </c>
      <c r="N48" s="41"/>
    </row>
    <row r="49">
      <c r="A49" s="82"/>
      <c r="G49" s="41"/>
      <c r="H49" s="41"/>
      <c r="I49" s="41"/>
      <c r="J49" s="41"/>
      <c r="K49" s="86" t="s">
        <v>127</v>
      </c>
      <c r="L49" s="87"/>
      <c r="M49" s="88">
        <f>M47-M48</f>
        <v>-426.569</v>
      </c>
      <c r="N49" s="41"/>
    </row>
    <row r="50">
      <c r="A50" s="89"/>
      <c r="B50" s="43"/>
      <c r="C50" s="43"/>
      <c r="L50" s="89"/>
    </row>
    <row r="51">
      <c r="A51" s="89"/>
      <c r="B51" s="43"/>
      <c r="C51" s="43"/>
      <c r="L51" s="89"/>
    </row>
    <row r="52">
      <c r="A52" s="89"/>
      <c r="B52" s="43"/>
      <c r="C52" s="43"/>
      <c r="L52" s="89"/>
    </row>
    <row r="53">
      <c r="A53" s="89"/>
      <c r="B53" s="43"/>
      <c r="C53" s="43"/>
      <c r="L53" s="89"/>
    </row>
    <row r="54">
      <c r="A54" s="89"/>
      <c r="B54" s="43"/>
      <c r="C54" s="43"/>
      <c r="L54" s="89"/>
    </row>
    <row r="55">
      <c r="A55" s="89"/>
      <c r="B55" s="43"/>
      <c r="C55" s="43"/>
      <c r="L55" s="89"/>
    </row>
    <row r="56">
      <c r="A56" s="89"/>
      <c r="B56" s="43"/>
      <c r="D56" s="43"/>
      <c r="E56" s="43"/>
      <c r="F56" s="43"/>
      <c r="G56" s="43"/>
      <c r="H56" s="43"/>
      <c r="I56" s="43"/>
      <c r="J56" s="43"/>
      <c r="K56" s="43"/>
      <c r="L56" s="90"/>
    </row>
    <row r="57">
      <c r="A57" s="89"/>
      <c r="B57" s="43"/>
      <c r="D57" s="43"/>
      <c r="E57" s="43"/>
      <c r="F57" s="43"/>
      <c r="G57" s="43"/>
      <c r="H57" s="43"/>
      <c r="I57" s="43"/>
      <c r="J57" s="43"/>
      <c r="K57" s="43"/>
      <c r="L57" s="90"/>
    </row>
    <row r="58">
      <c r="A58" s="89"/>
      <c r="B58" s="43"/>
      <c r="C58" s="32"/>
      <c r="D58" s="43"/>
      <c r="E58" s="43"/>
      <c r="F58" s="43"/>
      <c r="G58" s="43"/>
      <c r="H58" s="43"/>
      <c r="I58" s="43"/>
      <c r="J58" s="43"/>
      <c r="K58" s="43"/>
      <c r="L58" s="90"/>
      <c r="M58" s="43"/>
      <c r="N58" s="91"/>
    </row>
    <row r="59">
      <c r="A59" s="89"/>
      <c r="B59" s="43"/>
      <c r="C59" s="32"/>
      <c r="D59" s="43"/>
      <c r="E59" s="43"/>
      <c r="F59" s="43"/>
      <c r="G59" s="43"/>
      <c r="H59" s="43"/>
      <c r="I59" s="43"/>
      <c r="J59" s="43"/>
      <c r="K59" s="43"/>
      <c r="L59" s="90"/>
      <c r="M59" s="43"/>
      <c r="N59" s="32"/>
    </row>
    <row r="60">
      <c r="A60" s="89"/>
      <c r="B60" s="43"/>
      <c r="C60" s="32"/>
      <c r="D60" s="43"/>
      <c r="E60" s="43"/>
      <c r="F60" s="43"/>
      <c r="G60" s="43"/>
      <c r="H60" s="43"/>
      <c r="I60" s="43"/>
      <c r="J60" s="43"/>
      <c r="K60" s="43"/>
      <c r="L60" s="90"/>
      <c r="M60" s="43"/>
      <c r="N60" s="32"/>
    </row>
    <row r="61">
      <c r="A61" s="89"/>
      <c r="B61" s="43"/>
      <c r="C61" s="32"/>
      <c r="D61" s="43"/>
      <c r="E61" s="43"/>
      <c r="F61" s="43"/>
      <c r="G61" s="43"/>
      <c r="H61" s="43"/>
      <c r="I61" s="43"/>
      <c r="J61" s="43"/>
      <c r="K61" s="43"/>
      <c r="L61" s="90"/>
      <c r="M61" s="43"/>
      <c r="N61" s="32"/>
    </row>
    <row r="62">
      <c r="A62" s="89"/>
      <c r="B62" s="43"/>
      <c r="C62" s="32"/>
      <c r="D62" s="43"/>
      <c r="E62" s="43"/>
      <c r="F62" s="43"/>
      <c r="G62" s="43"/>
      <c r="H62" s="43"/>
      <c r="I62" s="43"/>
      <c r="J62" s="43"/>
      <c r="K62" s="43"/>
      <c r="L62" s="90"/>
      <c r="M62" s="43"/>
      <c r="N62" s="32"/>
    </row>
    <row r="63">
      <c r="A63" s="89"/>
      <c r="B63" s="43"/>
      <c r="C63" s="32"/>
      <c r="D63" s="43"/>
      <c r="E63" s="43"/>
      <c r="F63" s="43"/>
      <c r="G63" s="43"/>
      <c r="H63" s="43"/>
      <c r="I63" s="43"/>
      <c r="J63" s="43"/>
      <c r="K63" s="43"/>
      <c r="L63" s="90"/>
      <c r="M63" s="43"/>
      <c r="N63" s="32"/>
    </row>
    <row r="64">
      <c r="A64" s="89"/>
      <c r="B64" s="43"/>
      <c r="C64" s="32"/>
      <c r="D64" s="43"/>
      <c r="E64" s="43"/>
      <c r="F64" s="43"/>
      <c r="G64" s="43"/>
      <c r="H64" s="43"/>
      <c r="I64" s="43"/>
      <c r="J64" s="43"/>
      <c r="K64" s="43"/>
      <c r="L64" s="90"/>
      <c r="M64" s="43"/>
      <c r="N64" s="32"/>
    </row>
    <row r="65">
      <c r="A65" s="89"/>
      <c r="B65" s="43"/>
      <c r="C65" s="32"/>
      <c r="D65" s="43"/>
      <c r="E65" s="43"/>
      <c r="F65" s="43"/>
      <c r="G65" s="43"/>
      <c r="H65" s="43"/>
      <c r="I65" s="43"/>
      <c r="J65" s="43"/>
      <c r="K65" s="43"/>
      <c r="L65" s="90"/>
      <c r="M65" s="43"/>
      <c r="N65" s="32"/>
    </row>
    <row r="66">
      <c r="A66" s="89"/>
      <c r="B66" s="43"/>
      <c r="C66" s="32"/>
      <c r="D66" s="43"/>
      <c r="E66" s="43"/>
      <c r="F66" s="43"/>
      <c r="G66" s="43"/>
      <c r="H66" s="43"/>
      <c r="I66" s="43"/>
      <c r="J66" s="43"/>
      <c r="K66" s="43"/>
      <c r="L66" s="90"/>
      <c r="M66" s="43"/>
      <c r="N66" s="32"/>
    </row>
    <row r="67">
      <c r="A67" s="89"/>
      <c r="B67" s="43"/>
      <c r="C67" s="32"/>
      <c r="D67" s="43"/>
      <c r="E67" s="43"/>
      <c r="F67" s="43"/>
      <c r="G67" s="43"/>
      <c r="H67" s="43"/>
      <c r="I67" s="43"/>
      <c r="J67" s="43"/>
      <c r="K67" s="43"/>
      <c r="L67" s="90"/>
      <c r="M67" s="43"/>
      <c r="N67" s="32"/>
    </row>
    <row r="68">
      <c r="A68" s="89"/>
      <c r="B68" s="43"/>
      <c r="C68" s="32"/>
      <c r="D68" s="43"/>
      <c r="E68" s="43"/>
      <c r="F68" s="43"/>
      <c r="G68" s="43"/>
      <c r="H68" s="43"/>
      <c r="I68" s="43"/>
      <c r="J68" s="43"/>
      <c r="K68" s="43"/>
      <c r="L68" s="90"/>
      <c r="M68" s="43"/>
      <c r="N68" s="32"/>
    </row>
    <row r="69">
      <c r="A69" s="89"/>
      <c r="B69" s="43"/>
      <c r="C69" s="32"/>
      <c r="D69" s="43"/>
      <c r="E69" s="43"/>
      <c r="F69" s="43"/>
      <c r="G69" s="43"/>
      <c r="H69" s="43"/>
      <c r="I69" s="43"/>
      <c r="J69" s="43"/>
      <c r="K69" s="43"/>
      <c r="L69" s="90"/>
      <c r="M69" s="43"/>
      <c r="N69" s="32"/>
    </row>
    <row r="70">
      <c r="A70" s="89"/>
      <c r="B70" s="43"/>
      <c r="C70" s="32"/>
      <c r="D70" s="43"/>
      <c r="E70" s="43"/>
      <c r="F70" s="43"/>
      <c r="G70" s="43"/>
      <c r="H70" s="43"/>
      <c r="I70" s="43"/>
      <c r="J70" s="43"/>
      <c r="K70" s="43"/>
      <c r="L70" s="90"/>
      <c r="M70" s="43"/>
      <c r="N70" s="32"/>
    </row>
    <row r="71">
      <c r="A71" s="89"/>
      <c r="B71" s="43"/>
      <c r="C71" s="32"/>
      <c r="D71" s="43"/>
      <c r="E71" s="43"/>
      <c r="F71" s="43"/>
      <c r="G71" s="43"/>
      <c r="H71" s="43"/>
      <c r="I71" s="43"/>
      <c r="J71" s="43"/>
      <c r="K71" s="43"/>
      <c r="L71" s="90"/>
      <c r="M71" s="43"/>
      <c r="N71" s="32"/>
    </row>
    <row r="72">
      <c r="A72" s="89"/>
      <c r="B72" s="43"/>
      <c r="C72" s="32"/>
      <c r="D72" s="43"/>
      <c r="E72" s="43"/>
      <c r="F72" s="43"/>
      <c r="G72" s="43"/>
      <c r="H72" s="43"/>
      <c r="I72" s="43"/>
      <c r="J72" s="43"/>
      <c r="K72" s="43"/>
      <c r="L72" s="90"/>
      <c r="M72" s="43"/>
      <c r="N72" s="32"/>
    </row>
    <row r="73">
      <c r="A73" s="89"/>
      <c r="B73" s="43"/>
      <c r="C73" s="32"/>
      <c r="D73" s="43"/>
      <c r="E73" s="43"/>
      <c r="F73" s="43"/>
      <c r="G73" s="43"/>
      <c r="H73" s="43"/>
      <c r="I73" s="43"/>
      <c r="J73" s="43"/>
      <c r="K73" s="43"/>
      <c r="L73" s="90"/>
      <c r="M73" s="43"/>
      <c r="N73" s="32"/>
    </row>
    <row r="74">
      <c r="A74" s="89"/>
      <c r="B74" s="43"/>
      <c r="C74" s="32"/>
      <c r="D74" s="43"/>
      <c r="E74" s="43"/>
      <c r="F74" s="43"/>
      <c r="G74" s="43"/>
      <c r="H74" s="43"/>
      <c r="I74" s="43"/>
      <c r="J74" s="43"/>
      <c r="K74" s="43"/>
      <c r="L74" s="90"/>
      <c r="M74" s="43"/>
      <c r="N74" s="32"/>
    </row>
    <row r="75">
      <c r="A75" s="89"/>
      <c r="B75" s="43"/>
      <c r="C75" s="32"/>
      <c r="D75" s="43"/>
      <c r="E75" s="43"/>
      <c r="F75" s="43"/>
      <c r="G75" s="43"/>
      <c r="H75" s="43"/>
      <c r="I75" s="43"/>
      <c r="J75" s="43"/>
      <c r="K75" s="43"/>
      <c r="L75" s="90"/>
      <c r="M75" s="43"/>
      <c r="N75" s="32"/>
    </row>
    <row r="76">
      <c r="A76" s="89"/>
      <c r="B76" s="43"/>
      <c r="C76" s="32"/>
      <c r="D76" s="43"/>
      <c r="E76" s="43"/>
      <c r="F76" s="43"/>
      <c r="G76" s="43"/>
      <c r="H76" s="43"/>
      <c r="I76" s="43"/>
      <c r="J76" s="43"/>
      <c r="K76" s="43"/>
      <c r="L76" s="90"/>
      <c r="M76" s="43"/>
      <c r="N76" s="32"/>
    </row>
    <row r="77">
      <c r="A77" s="89"/>
      <c r="B77" s="43"/>
      <c r="C77" s="32"/>
      <c r="D77" s="43"/>
      <c r="E77" s="43"/>
      <c r="F77" s="43"/>
      <c r="G77" s="43"/>
      <c r="H77" s="43"/>
      <c r="I77" s="43"/>
      <c r="J77" s="43"/>
      <c r="K77" s="43"/>
      <c r="L77" s="90"/>
      <c r="M77" s="43"/>
      <c r="N77" s="32"/>
    </row>
    <row r="78">
      <c r="A78" s="89"/>
      <c r="B78" s="43"/>
      <c r="C78" s="32"/>
      <c r="D78" s="43"/>
      <c r="E78" s="43"/>
      <c r="F78" s="43"/>
      <c r="G78" s="43"/>
      <c r="H78" s="43"/>
      <c r="I78" s="43"/>
      <c r="J78" s="43"/>
      <c r="K78" s="43"/>
      <c r="L78" s="90"/>
      <c r="M78" s="43"/>
      <c r="N78" s="32"/>
    </row>
    <row r="79">
      <c r="A79" s="89"/>
      <c r="B79" s="43"/>
      <c r="C79" s="32"/>
      <c r="D79" s="43"/>
      <c r="E79" s="43"/>
      <c r="F79" s="43"/>
      <c r="G79" s="43"/>
      <c r="H79" s="43"/>
      <c r="I79" s="43"/>
      <c r="J79" s="43"/>
      <c r="K79" s="43"/>
      <c r="L79" s="90"/>
      <c r="M79" s="43"/>
      <c r="N79" s="32"/>
    </row>
    <row r="80">
      <c r="A80" s="89"/>
      <c r="B80" s="43"/>
      <c r="C80" s="32"/>
      <c r="D80" s="43"/>
      <c r="E80" s="43"/>
      <c r="F80" s="43"/>
      <c r="G80" s="43"/>
      <c r="H80" s="43"/>
      <c r="I80" s="43"/>
      <c r="J80" s="43"/>
      <c r="K80" s="43"/>
      <c r="L80" s="90"/>
      <c r="M80" s="43"/>
      <c r="N80" s="32"/>
    </row>
    <row r="81">
      <c r="A81" s="89"/>
      <c r="B81" s="43"/>
      <c r="C81" s="32"/>
      <c r="D81" s="43"/>
      <c r="E81" s="43"/>
      <c r="F81" s="43"/>
      <c r="G81" s="43"/>
      <c r="H81" s="43"/>
      <c r="I81" s="43"/>
      <c r="J81" s="43"/>
      <c r="K81" s="43"/>
      <c r="L81" s="90"/>
      <c r="M81" s="43"/>
      <c r="N81" s="32"/>
    </row>
    <row r="82">
      <c r="A82" s="89"/>
      <c r="B82" s="43"/>
      <c r="C82" s="32"/>
      <c r="D82" s="43"/>
      <c r="E82" s="43"/>
      <c r="F82" s="43"/>
      <c r="G82" s="43"/>
      <c r="H82" s="43"/>
      <c r="I82" s="43"/>
      <c r="J82" s="43"/>
      <c r="K82" s="43"/>
      <c r="L82" s="90"/>
      <c r="M82" s="43"/>
      <c r="N82" s="32"/>
    </row>
    <row r="83">
      <c r="A83" s="89"/>
      <c r="B83" s="43"/>
      <c r="D83" s="43"/>
      <c r="E83" s="43"/>
      <c r="F83" s="43"/>
      <c r="G83" s="43"/>
      <c r="H83" s="43"/>
      <c r="I83" s="43"/>
      <c r="J83" s="43"/>
      <c r="K83" s="43"/>
      <c r="L83" s="90"/>
      <c r="M83" s="43"/>
    </row>
    <row r="84">
      <c r="A84" s="89"/>
      <c r="B84" s="43"/>
      <c r="D84" s="43"/>
      <c r="E84" s="43"/>
      <c r="F84" s="43"/>
      <c r="G84" s="43"/>
      <c r="H84" s="43"/>
      <c r="I84" s="43"/>
      <c r="J84" s="43"/>
      <c r="K84" s="43"/>
      <c r="L84" s="90"/>
      <c r="M84" s="43"/>
    </row>
    <row r="85">
      <c r="A85" s="89"/>
      <c r="B85" s="43"/>
      <c r="D85" s="43"/>
      <c r="E85" s="43"/>
      <c r="F85" s="43"/>
      <c r="G85" s="43"/>
      <c r="H85" s="43"/>
      <c r="I85" s="43"/>
      <c r="J85" s="43"/>
      <c r="K85" s="43"/>
      <c r="L85" s="90"/>
      <c r="M85" s="43"/>
    </row>
    <row r="86">
      <c r="A86" s="89"/>
      <c r="B86" s="43"/>
      <c r="D86" s="43"/>
      <c r="E86" s="43"/>
      <c r="F86" s="43"/>
      <c r="G86" s="43"/>
      <c r="H86" s="43"/>
      <c r="I86" s="43"/>
      <c r="J86" s="43"/>
      <c r="K86" s="43"/>
      <c r="L86" s="90"/>
      <c r="M86" s="43"/>
    </row>
    <row r="87">
      <c r="A87" s="89"/>
      <c r="B87" s="43"/>
      <c r="D87" s="43"/>
      <c r="E87" s="43"/>
      <c r="F87" s="43"/>
      <c r="G87" s="43"/>
      <c r="H87" s="43"/>
      <c r="I87" s="43"/>
      <c r="J87" s="43"/>
      <c r="K87" s="43"/>
      <c r="L87" s="90"/>
      <c r="M87" s="43"/>
    </row>
    <row r="88">
      <c r="A88" s="89"/>
      <c r="B88" s="43"/>
      <c r="D88" s="43"/>
      <c r="E88" s="43"/>
      <c r="F88" s="43"/>
      <c r="G88" s="43"/>
      <c r="H88" s="43"/>
      <c r="I88" s="43"/>
      <c r="J88" s="43"/>
      <c r="K88" s="43"/>
      <c r="L88" s="90"/>
      <c r="M88" s="43"/>
    </row>
    <row r="89">
      <c r="A89" s="89"/>
      <c r="B89" s="43"/>
      <c r="D89" s="43"/>
      <c r="E89" s="43"/>
      <c r="F89" s="43"/>
      <c r="G89" s="43"/>
      <c r="H89" s="43"/>
      <c r="I89" s="43"/>
      <c r="J89" s="43"/>
      <c r="K89" s="43"/>
      <c r="L89" s="90"/>
      <c r="M89" s="43"/>
    </row>
    <row r="90">
      <c r="A90" s="89"/>
      <c r="B90" s="43"/>
      <c r="D90" s="43"/>
      <c r="E90" s="43"/>
      <c r="F90" s="43"/>
      <c r="G90" s="43"/>
      <c r="H90" s="43"/>
      <c r="I90" s="43"/>
      <c r="J90" s="43"/>
      <c r="K90" s="43"/>
      <c r="L90" s="90"/>
      <c r="M90" s="43"/>
    </row>
    <row r="91">
      <c r="A91" s="89"/>
      <c r="B91" s="43"/>
      <c r="D91" s="43"/>
      <c r="E91" s="43"/>
      <c r="F91" s="43"/>
      <c r="G91" s="43"/>
      <c r="H91" s="43"/>
      <c r="I91" s="43"/>
      <c r="J91" s="43"/>
      <c r="K91" s="43"/>
      <c r="L91" s="90"/>
      <c r="M91" s="43"/>
    </row>
    <row r="92">
      <c r="A92" s="89"/>
      <c r="B92" s="43"/>
      <c r="D92" s="43"/>
      <c r="E92" s="43"/>
      <c r="F92" s="43"/>
      <c r="G92" s="43"/>
      <c r="H92" s="43"/>
      <c r="I92" s="43"/>
      <c r="J92" s="43"/>
      <c r="K92" s="43"/>
      <c r="L92" s="90"/>
      <c r="M92" s="43"/>
    </row>
    <row r="93">
      <c r="A93" s="89"/>
      <c r="B93" s="43"/>
      <c r="D93" s="43"/>
      <c r="E93" s="43"/>
      <c r="F93" s="43"/>
      <c r="G93" s="43"/>
      <c r="H93" s="43"/>
      <c r="I93" s="43"/>
      <c r="J93" s="43"/>
      <c r="K93" s="43"/>
      <c r="L93" s="90"/>
      <c r="M93" s="43"/>
    </row>
    <row r="94">
      <c r="A94" s="89"/>
      <c r="B94" s="43"/>
      <c r="D94" s="43"/>
      <c r="E94" s="43"/>
      <c r="F94" s="43"/>
      <c r="G94" s="43"/>
      <c r="H94" s="43"/>
      <c r="I94" s="43"/>
      <c r="J94" s="43"/>
      <c r="K94" s="43"/>
      <c r="L94" s="90"/>
      <c r="M94" s="43"/>
    </row>
    <row r="95">
      <c r="A95" s="89"/>
      <c r="B95" s="43"/>
      <c r="D95" s="43"/>
      <c r="E95" s="43"/>
      <c r="F95" s="43"/>
      <c r="G95" s="43"/>
      <c r="H95" s="43"/>
      <c r="I95" s="43"/>
      <c r="J95" s="43"/>
      <c r="K95" s="43"/>
      <c r="L95" s="90"/>
      <c r="M95" s="43"/>
    </row>
    <row r="96">
      <c r="A96" s="89"/>
      <c r="B96" s="43"/>
      <c r="D96" s="43"/>
      <c r="E96" s="43"/>
      <c r="F96" s="43"/>
      <c r="G96" s="43"/>
      <c r="H96" s="43"/>
      <c r="I96" s="43"/>
      <c r="J96" s="43"/>
      <c r="K96" s="43"/>
      <c r="L96" s="90"/>
      <c r="M96" s="43"/>
    </row>
    <row r="97">
      <c r="A97" s="89"/>
      <c r="B97" s="43"/>
      <c r="D97" s="43"/>
      <c r="E97" s="43"/>
      <c r="F97" s="43"/>
      <c r="G97" s="43"/>
      <c r="H97" s="43"/>
      <c r="I97" s="43"/>
      <c r="J97" s="43"/>
      <c r="K97" s="43"/>
      <c r="L97" s="90"/>
      <c r="M97" s="43"/>
    </row>
    <row r="98">
      <c r="A98" s="89"/>
      <c r="B98" s="43"/>
      <c r="D98" s="43"/>
      <c r="E98" s="43"/>
      <c r="F98" s="43"/>
      <c r="G98" s="43"/>
      <c r="H98" s="43"/>
      <c r="I98" s="43"/>
      <c r="J98" s="43"/>
      <c r="K98" s="43"/>
      <c r="L98" s="90"/>
      <c r="M98" s="43"/>
    </row>
    <row r="99">
      <c r="A99" s="89"/>
      <c r="B99" s="43"/>
      <c r="D99" s="43"/>
      <c r="E99" s="43"/>
      <c r="F99" s="43"/>
      <c r="G99" s="43"/>
      <c r="H99" s="43"/>
      <c r="I99" s="43"/>
      <c r="J99" s="43"/>
      <c r="K99" s="43"/>
      <c r="L99" s="90"/>
      <c r="M99" s="43"/>
    </row>
    <row r="100">
      <c r="A100" s="89"/>
      <c r="B100" s="43"/>
      <c r="D100" s="43"/>
      <c r="E100" s="43"/>
      <c r="F100" s="43"/>
      <c r="G100" s="43"/>
      <c r="H100" s="43"/>
      <c r="I100" s="43"/>
      <c r="J100" s="43"/>
      <c r="K100" s="43"/>
      <c r="L100" s="90"/>
      <c r="M100" s="43"/>
    </row>
    <row r="101">
      <c r="A101" s="89"/>
      <c r="B101" s="43"/>
      <c r="D101" s="43"/>
      <c r="E101" s="43"/>
      <c r="F101" s="43"/>
      <c r="G101" s="43"/>
      <c r="H101" s="43"/>
      <c r="I101" s="43"/>
      <c r="J101" s="43"/>
      <c r="K101" s="43"/>
      <c r="L101" s="90"/>
      <c r="M101" s="43"/>
    </row>
    <row r="102">
      <c r="A102" s="89"/>
      <c r="B102" s="43"/>
      <c r="C102" s="43"/>
      <c r="L102" s="89"/>
    </row>
    <row r="103">
      <c r="A103" s="89"/>
      <c r="B103" s="43"/>
      <c r="C103" s="43"/>
      <c r="L103" s="89"/>
    </row>
    <row r="104">
      <c r="A104" s="89"/>
      <c r="B104" s="43"/>
      <c r="C104" s="43"/>
      <c r="L104" s="89"/>
    </row>
    <row r="105">
      <c r="A105" s="89"/>
      <c r="B105" s="43"/>
      <c r="C105" s="43"/>
      <c r="L105" s="89"/>
    </row>
    <row r="106">
      <c r="A106" s="89"/>
      <c r="B106" s="43"/>
      <c r="C106" s="43"/>
      <c r="L106" s="89"/>
    </row>
    <row r="107">
      <c r="A107" s="89"/>
      <c r="B107" s="43"/>
      <c r="C107" s="43"/>
      <c r="L107" s="89"/>
    </row>
    <row r="108">
      <c r="A108" s="89"/>
      <c r="B108" s="43"/>
      <c r="C108" s="43"/>
      <c r="L108" s="89"/>
    </row>
    <row r="109">
      <c r="A109" s="89"/>
      <c r="B109" s="43"/>
      <c r="C109" s="43"/>
      <c r="L109" s="89"/>
    </row>
    <row r="110">
      <c r="A110" s="89"/>
      <c r="B110" s="43"/>
      <c r="C110" s="43"/>
      <c r="L110" s="89"/>
    </row>
    <row r="111">
      <c r="A111" s="89"/>
      <c r="B111" s="43"/>
      <c r="C111" s="43"/>
      <c r="L111" s="89"/>
    </row>
    <row r="112">
      <c r="A112" s="89"/>
      <c r="B112" s="43"/>
      <c r="C112" s="43"/>
      <c r="L112" s="89"/>
    </row>
    <row r="113">
      <c r="A113" s="89"/>
      <c r="B113" s="43"/>
      <c r="C113" s="43"/>
      <c r="L113" s="89"/>
    </row>
    <row r="114">
      <c r="A114" s="89"/>
      <c r="B114" s="43"/>
      <c r="C114" s="43"/>
      <c r="L114" s="89"/>
    </row>
    <row r="115">
      <c r="A115" s="89"/>
      <c r="B115" s="43"/>
      <c r="C115" s="43"/>
      <c r="L115" s="89"/>
    </row>
    <row r="116">
      <c r="A116" s="89"/>
      <c r="B116" s="43"/>
      <c r="C116" s="43"/>
      <c r="L116" s="89"/>
    </row>
    <row r="117">
      <c r="A117" s="89"/>
      <c r="B117" s="43"/>
      <c r="C117" s="43"/>
      <c r="L117" s="89"/>
    </row>
    <row r="118">
      <c r="A118" s="89"/>
      <c r="B118" s="43"/>
      <c r="C118" s="43"/>
      <c r="L118" s="89"/>
    </row>
    <row r="119">
      <c r="A119" s="89"/>
      <c r="B119" s="43"/>
      <c r="C119" s="43"/>
      <c r="L119" s="89"/>
    </row>
    <row r="120">
      <c r="A120" s="89"/>
      <c r="B120" s="43"/>
      <c r="C120" s="43"/>
      <c r="L120" s="89"/>
    </row>
    <row r="121">
      <c r="A121" s="89"/>
      <c r="B121" s="43"/>
      <c r="C121" s="43"/>
      <c r="L121" s="89"/>
    </row>
    <row r="122">
      <c r="A122" s="89"/>
      <c r="B122" s="43"/>
      <c r="C122" s="43"/>
      <c r="L122" s="89"/>
    </row>
    <row r="123">
      <c r="A123" s="89"/>
      <c r="B123" s="43"/>
      <c r="C123" s="43"/>
      <c r="L123" s="89"/>
    </row>
    <row r="124">
      <c r="A124" s="89"/>
      <c r="B124" s="43"/>
      <c r="C124" s="43"/>
      <c r="L124" s="89"/>
    </row>
    <row r="125">
      <c r="A125" s="89"/>
      <c r="B125" s="43"/>
      <c r="C125" s="43"/>
      <c r="L125" s="89"/>
    </row>
    <row r="126">
      <c r="A126" s="89"/>
      <c r="B126" s="43"/>
      <c r="C126" s="43"/>
      <c r="L126" s="89"/>
    </row>
    <row r="127">
      <c r="A127" s="89"/>
      <c r="B127" s="43"/>
      <c r="C127" s="43"/>
      <c r="L127" s="89"/>
    </row>
    <row r="128">
      <c r="A128" s="89"/>
      <c r="B128" s="43"/>
      <c r="C128" s="43"/>
      <c r="L128" s="89"/>
    </row>
    <row r="129">
      <c r="A129" s="89"/>
      <c r="B129" s="43"/>
      <c r="C129" s="43"/>
      <c r="L129" s="89"/>
    </row>
    <row r="130">
      <c r="A130" s="89"/>
      <c r="B130" s="43"/>
      <c r="C130" s="43"/>
      <c r="L130" s="89"/>
    </row>
    <row r="131">
      <c r="A131" s="89"/>
      <c r="B131" s="43"/>
      <c r="C131" s="43"/>
      <c r="L131" s="89"/>
    </row>
    <row r="132">
      <c r="A132" s="89"/>
      <c r="B132" s="43"/>
      <c r="C132" s="43"/>
      <c r="L132" s="89"/>
    </row>
    <row r="133">
      <c r="A133" s="89"/>
      <c r="B133" s="43"/>
      <c r="C133" s="43"/>
      <c r="L133" s="89"/>
    </row>
    <row r="134">
      <c r="A134" s="89"/>
      <c r="B134" s="43"/>
      <c r="C134" s="43"/>
      <c r="L134" s="89"/>
    </row>
    <row r="135">
      <c r="A135" s="89"/>
      <c r="B135" s="43"/>
      <c r="C135" s="43"/>
      <c r="L135" s="89"/>
    </row>
    <row r="136">
      <c r="A136" s="89"/>
      <c r="B136" s="43"/>
      <c r="C136" s="43"/>
      <c r="L136" s="89"/>
    </row>
    <row r="137">
      <c r="A137" s="89"/>
      <c r="B137" s="43"/>
      <c r="C137" s="43"/>
      <c r="L137" s="89"/>
    </row>
    <row r="138">
      <c r="A138" s="89"/>
      <c r="B138" s="43"/>
      <c r="C138" s="43"/>
      <c r="L138" s="89"/>
    </row>
    <row r="139">
      <c r="A139" s="89"/>
      <c r="B139" s="43"/>
      <c r="C139" s="43"/>
      <c r="L139" s="89"/>
    </row>
    <row r="140">
      <c r="A140" s="89"/>
      <c r="B140" s="43"/>
      <c r="C140" s="43"/>
      <c r="L140" s="89"/>
    </row>
    <row r="141">
      <c r="A141" s="89"/>
      <c r="B141" s="43"/>
      <c r="C141" s="43"/>
      <c r="L141" s="89"/>
    </row>
    <row r="142">
      <c r="A142" s="89"/>
      <c r="B142" s="43"/>
      <c r="C142" s="43"/>
      <c r="L142" s="89"/>
    </row>
    <row r="143">
      <c r="A143" s="89"/>
      <c r="B143" s="43"/>
      <c r="C143" s="43"/>
      <c r="L143" s="89"/>
    </row>
    <row r="144">
      <c r="A144" s="89"/>
      <c r="B144" s="43"/>
      <c r="C144" s="43"/>
      <c r="L144" s="89"/>
    </row>
    <row r="145">
      <c r="A145" s="89"/>
      <c r="B145" s="43"/>
      <c r="C145" s="43"/>
      <c r="L145" s="89"/>
    </row>
    <row r="146">
      <c r="A146" s="89"/>
      <c r="B146" s="43"/>
      <c r="C146" s="43"/>
      <c r="L146" s="89"/>
    </row>
    <row r="147">
      <c r="A147" s="89"/>
      <c r="B147" s="43"/>
      <c r="C147" s="43"/>
      <c r="L147" s="89"/>
    </row>
    <row r="148">
      <c r="A148" s="89"/>
      <c r="B148" s="43"/>
      <c r="C148" s="43"/>
      <c r="L148" s="89"/>
    </row>
    <row r="149">
      <c r="A149" s="89"/>
      <c r="B149" s="43"/>
      <c r="C149" s="43"/>
      <c r="L149" s="89"/>
    </row>
    <row r="150">
      <c r="A150" s="89"/>
      <c r="B150" s="43"/>
      <c r="C150" s="43"/>
      <c r="L150" s="89"/>
    </row>
    <row r="151">
      <c r="A151" s="89"/>
      <c r="B151" s="43"/>
      <c r="C151" s="43"/>
      <c r="L151" s="89"/>
    </row>
    <row r="152">
      <c r="A152" s="89"/>
      <c r="B152" s="43"/>
      <c r="C152" s="43"/>
      <c r="L152" s="89"/>
    </row>
    <row r="153">
      <c r="A153" s="89"/>
      <c r="B153" s="43"/>
      <c r="C153" s="43"/>
      <c r="L153" s="89"/>
    </row>
    <row r="154">
      <c r="A154" s="89"/>
      <c r="B154" s="43"/>
      <c r="C154" s="43"/>
      <c r="L154" s="89"/>
    </row>
    <row r="155">
      <c r="A155" s="89"/>
      <c r="B155" s="43"/>
      <c r="C155" s="43"/>
      <c r="L155" s="89"/>
    </row>
    <row r="156">
      <c r="A156" s="89"/>
      <c r="B156" s="43"/>
      <c r="C156" s="43"/>
      <c r="L156" s="89"/>
    </row>
    <row r="157">
      <c r="A157" s="89"/>
      <c r="B157" s="43"/>
      <c r="C157" s="43"/>
      <c r="L157" s="89"/>
    </row>
    <row r="158">
      <c r="A158" s="89"/>
      <c r="B158" s="43"/>
      <c r="C158" s="43"/>
      <c r="L158" s="89"/>
    </row>
    <row r="159">
      <c r="A159" s="89"/>
      <c r="B159" s="43"/>
      <c r="C159" s="43"/>
      <c r="L159" s="89"/>
    </row>
    <row r="160">
      <c r="A160" s="89"/>
      <c r="B160" s="43"/>
      <c r="C160" s="43"/>
      <c r="L160" s="89"/>
    </row>
    <row r="161">
      <c r="A161" s="89"/>
      <c r="B161" s="43"/>
      <c r="C161" s="43"/>
      <c r="L161" s="89"/>
    </row>
    <row r="162">
      <c r="A162" s="89"/>
      <c r="B162" s="43"/>
      <c r="C162" s="43"/>
      <c r="L162" s="89"/>
    </row>
    <row r="163">
      <c r="A163" s="89"/>
      <c r="B163" s="43"/>
      <c r="C163" s="43"/>
      <c r="L163" s="89"/>
    </row>
    <row r="164">
      <c r="A164" s="89"/>
      <c r="B164" s="43"/>
      <c r="C164" s="43"/>
      <c r="L164" s="89"/>
    </row>
    <row r="165">
      <c r="A165" s="89"/>
      <c r="B165" s="43"/>
      <c r="C165" s="43"/>
      <c r="L165" s="89"/>
    </row>
    <row r="166">
      <c r="A166" s="89"/>
      <c r="B166" s="43"/>
      <c r="C166" s="43"/>
      <c r="L166" s="89"/>
    </row>
    <row r="167">
      <c r="A167" s="89"/>
      <c r="B167" s="43"/>
      <c r="C167" s="43"/>
      <c r="L167" s="89"/>
    </row>
    <row r="168">
      <c r="A168" s="89"/>
      <c r="B168" s="43"/>
      <c r="C168" s="43"/>
      <c r="L168" s="89"/>
    </row>
    <row r="169">
      <c r="A169" s="89"/>
      <c r="B169" s="43"/>
      <c r="C169" s="43"/>
      <c r="L169" s="89"/>
    </row>
    <row r="170">
      <c r="A170" s="89"/>
      <c r="B170" s="43"/>
      <c r="C170" s="43"/>
      <c r="L170" s="89"/>
    </row>
    <row r="171">
      <c r="A171" s="89"/>
      <c r="B171" s="43"/>
      <c r="C171" s="43"/>
      <c r="L171" s="89"/>
    </row>
    <row r="172">
      <c r="A172" s="89"/>
      <c r="B172" s="43"/>
      <c r="C172" s="43"/>
      <c r="L172" s="89"/>
    </row>
    <row r="173">
      <c r="A173" s="89"/>
      <c r="B173" s="43"/>
      <c r="C173" s="43"/>
      <c r="L173" s="89"/>
    </row>
    <row r="174">
      <c r="A174" s="89"/>
      <c r="B174" s="43"/>
      <c r="C174" s="43"/>
      <c r="L174" s="89"/>
    </row>
    <row r="175">
      <c r="A175" s="89"/>
      <c r="B175" s="43"/>
      <c r="C175" s="43"/>
      <c r="L175" s="89"/>
    </row>
    <row r="176">
      <c r="A176" s="89"/>
      <c r="B176" s="43"/>
      <c r="C176" s="43"/>
      <c r="L176" s="89"/>
    </row>
    <row r="177">
      <c r="A177" s="89"/>
      <c r="B177" s="43"/>
      <c r="C177" s="43"/>
      <c r="L177" s="89"/>
    </row>
    <row r="178">
      <c r="A178" s="89"/>
      <c r="B178" s="43"/>
      <c r="C178" s="43"/>
      <c r="L178" s="89"/>
    </row>
    <row r="179">
      <c r="A179" s="89"/>
      <c r="B179" s="43"/>
      <c r="C179" s="43"/>
      <c r="L179" s="89"/>
    </row>
    <row r="180">
      <c r="A180" s="89"/>
      <c r="B180" s="43"/>
      <c r="C180" s="43"/>
      <c r="L180" s="89"/>
    </row>
    <row r="181">
      <c r="A181" s="89"/>
      <c r="B181" s="43"/>
      <c r="C181" s="43"/>
      <c r="L181" s="89"/>
    </row>
    <row r="182">
      <c r="A182" s="89"/>
      <c r="B182" s="43"/>
      <c r="C182" s="43"/>
      <c r="L182" s="89"/>
    </row>
    <row r="183">
      <c r="A183" s="89"/>
      <c r="B183" s="43"/>
      <c r="C183" s="43"/>
      <c r="L183" s="89"/>
    </row>
    <row r="184">
      <c r="A184" s="89"/>
      <c r="B184" s="43"/>
      <c r="C184" s="43"/>
      <c r="L184" s="89"/>
    </row>
    <row r="185">
      <c r="A185" s="89"/>
      <c r="B185" s="43"/>
      <c r="C185" s="43"/>
      <c r="L185" s="89"/>
    </row>
    <row r="186">
      <c r="A186" s="89"/>
      <c r="B186" s="43"/>
      <c r="C186" s="43"/>
      <c r="L186" s="89"/>
    </row>
    <row r="187">
      <c r="A187" s="89"/>
      <c r="B187" s="43"/>
      <c r="C187" s="43"/>
      <c r="L187" s="89"/>
    </row>
    <row r="188">
      <c r="A188" s="89"/>
      <c r="B188" s="43"/>
      <c r="C188" s="43"/>
      <c r="L188" s="89"/>
    </row>
    <row r="189">
      <c r="A189" s="89"/>
      <c r="B189" s="43"/>
      <c r="C189" s="43"/>
      <c r="L189" s="89"/>
    </row>
    <row r="190">
      <c r="A190" s="89"/>
      <c r="B190" s="43"/>
      <c r="C190" s="43"/>
      <c r="L190" s="89"/>
    </row>
    <row r="191">
      <c r="A191" s="89"/>
      <c r="B191" s="43"/>
      <c r="C191" s="43"/>
      <c r="L191" s="89"/>
    </row>
    <row r="192">
      <c r="A192" s="89"/>
      <c r="B192" s="43"/>
      <c r="C192" s="43"/>
      <c r="L192" s="89"/>
    </row>
    <row r="193">
      <c r="A193" s="89"/>
      <c r="B193" s="43"/>
      <c r="C193" s="43"/>
      <c r="L193" s="89"/>
    </row>
    <row r="194">
      <c r="A194" s="89"/>
      <c r="B194" s="43"/>
      <c r="C194" s="43"/>
      <c r="L194" s="89"/>
    </row>
    <row r="195">
      <c r="A195" s="89"/>
      <c r="B195" s="43"/>
      <c r="C195" s="43"/>
      <c r="L195" s="89"/>
    </row>
    <row r="196">
      <c r="A196" s="89"/>
      <c r="B196" s="43"/>
      <c r="C196" s="43"/>
      <c r="L196" s="89"/>
    </row>
    <row r="197">
      <c r="A197" s="89"/>
      <c r="B197" s="43"/>
      <c r="C197" s="43"/>
      <c r="L197" s="89"/>
    </row>
    <row r="198">
      <c r="A198" s="89"/>
      <c r="B198" s="43"/>
      <c r="C198" s="43"/>
      <c r="L198" s="89"/>
    </row>
    <row r="199">
      <c r="A199" s="89"/>
      <c r="B199" s="43"/>
      <c r="C199" s="43"/>
      <c r="L199" s="89"/>
    </row>
    <row r="200">
      <c r="A200" s="89"/>
      <c r="B200" s="43"/>
      <c r="C200" s="43"/>
      <c r="L200" s="89"/>
    </row>
    <row r="201">
      <c r="A201" s="89"/>
      <c r="B201" s="43"/>
      <c r="C201" s="43"/>
      <c r="L201" s="89"/>
    </row>
    <row r="202">
      <c r="A202" s="89"/>
      <c r="B202" s="43"/>
      <c r="C202" s="43"/>
      <c r="L202" s="89"/>
    </row>
    <row r="203">
      <c r="A203" s="89"/>
      <c r="B203" s="43"/>
      <c r="C203" s="43"/>
      <c r="L203" s="89"/>
    </row>
    <row r="204">
      <c r="A204" s="89"/>
      <c r="B204" s="43"/>
      <c r="C204" s="43"/>
      <c r="L204" s="89"/>
    </row>
    <row r="205">
      <c r="A205" s="89"/>
      <c r="B205" s="43"/>
      <c r="C205" s="43"/>
      <c r="L205" s="89"/>
    </row>
    <row r="206">
      <c r="A206" s="89"/>
      <c r="B206" s="43"/>
      <c r="C206" s="43"/>
      <c r="L206" s="89"/>
    </row>
    <row r="207">
      <c r="A207" s="89"/>
      <c r="B207" s="43"/>
      <c r="C207" s="43"/>
      <c r="L207" s="89"/>
    </row>
    <row r="208">
      <c r="A208" s="89"/>
      <c r="B208" s="43"/>
      <c r="C208" s="43"/>
      <c r="L208" s="89"/>
    </row>
    <row r="209">
      <c r="A209" s="89"/>
      <c r="B209" s="43"/>
      <c r="C209" s="43"/>
      <c r="L209" s="89"/>
    </row>
    <row r="210">
      <c r="A210" s="89"/>
      <c r="B210" s="43"/>
      <c r="C210" s="43"/>
      <c r="L210" s="89"/>
    </row>
    <row r="211">
      <c r="A211" s="89"/>
      <c r="B211" s="43"/>
      <c r="C211" s="43"/>
      <c r="L211" s="89"/>
    </row>
    <row r="212">
      <c r="A212" s="89"/>
      <c r="B212" s="43"/>
      <c r="C212" s="43"/>
      <c r="L212" s="89"/>
    </row>
    <row r="213">
      <c r="A213" s="89"/>
      <c r="B213" s="43"/>
      <c r="C213" s="43"/>
      <c r="L213" s="89"/>
    </row>
    <row r="214">
      <c r="A214" s="89"/>
      <c r="B214" s="43"/>
      <c r="C214" s="43"/>
      <c r="L214" s="89"/>
    </row>
    <row r="215">
      <c r="A215" s="89"/>
      <c r="B215" s="43"/>
      <c r="C215" s="43"/>
      <c r="L215" s="89"/>
    </row>
    <row r="216">
      <c r="A216" s="89"/>
      <c r="B216" s="43"/>
      <c r="C216" s="43"/>
      <c r="L216" s="89"/>
    </row>
    <row r="217">
      <c r="A217" s="89"/>
      <c r="B217" s="43"/>
      <c r="C217" s="43"/>
      <c r="L217" s="89"/>
    </row>
    <row r="218">
      <c r="A218" s="89"/>
      <c r="B218" s="43"/>
      <c r="C218" s="43"/>
      <c r="L218" s="89"/>
    </row>
    <row r="219">
      <c r="A219" s="89"/>
      <c r="B219" s="43"/>
      <c r="C219" s="43"/>
      <c r="L219" s="89"/>
    </row>
    <row r="220">
      <c r="A220" s="89"/>
      <c r="B220" s="43"/>
      <c r="C220" s="43"/>
      <c r="L220" s="89"/>
    </row>
    <row r="221">
      <c r="A221" s="89"/>
      <c r="B221" s="43"/>
      <c r="C221" s="43"/>
      <c r="L221" s="89"/>
    </row>
    <row r="222">
      <c r="A222" s="89"/>
      <c r="B222" s="43"/>
      <c r="C222" s="43"/>
      <c r="L222" s="89"/>
    </row>
    <row r="223">
      <c r="A223" s="89"/>
      <c r="B223" s="43"/>
      <c r="C223" s="43"/>
      <c r="L223" s="89"/>
    </row>
    <row r="224">
      <c r="A224" s="89"/>
      <c r="B224" s="43"/>
      <c r="C224" s="43"/>
      <c r="L224" s="89"/>
    </row>
    <row r="225">
      <c r="A225" s="89"/>
      <c r="B225" s="43"/>
      <c r="C225" s="43"/>
      <c r="L225" s="89"/>
    </row>
    <row r="226">
      <c r="A226" s="89"/>
      <c r="B226" s="43"/>
      <c r="C226" s="43"/>
      <c r="L226" s="89"/>
    </row>
    <row r="227">
      <c r="A227" s="89"/>
      <c r="B227" s="43"/>
      <c r="C227" s="43"/>
      <c r="L227" s="89"/>
    </row>
    <row r="228">
      <c r="A228" s="89"/>
      <c r="B228" s="43"/>
      <c r="C228" s="43"/>
      <c r="L228" s="89"/>
    </row>
    <row r="229">
      <c r="A229" s="89"/>
      <c r="B229" s="43"/>
      <c r="C229" s="43"/>
      <c r="L229" s="89"/>
    </row>
    <row r="230">
      <c r="A230" s="89"/>
      <c r="B230" s="43"/>
      <c r="C230" s="43"/>
      <c r="L230" s="89"/>
    </row>
    <row r="231">
      <c r="A231" s="89"/>
      <c r="B231" s="43"/>
      <c r="C231" s="43"/>
      <c r="L231" s="89"/>
    </row>
    <row r="232">
      <c r="A232" s="89"/>
      <c r="B232" s="43"/>
      <c r="C232" s="43"/>
      <c r="L232" s="89"/>
    </row>
    <row r="233">
      <c r="A233" s="89"/>
      <c r="B233" s="43"/>
      <c r="C233" s="43"/>
      <c r="L233" s="89"/>
    </row>
    <row r="234">
      <c r="A234" s="89"/>
      <c r="B234" s="43"/>
      <c r="C234" s="43"/>
      <c r="L234" s="89"/>
    </row>
    <row r="235">
      <c r="A235" s="89"/>
      <c r="B235" s="43"/>
      <c r="C235" s="43"/>
      <c r="L235" s="89"/>
    </row>
    <row r="236">
      <c r="A236" s="89"/>
      <c r="B236" s="43"/>
      <c r="C236" s="43"/>
      <c r="L236" s="89"/>
    </row>
    <row r="237">
      <c r="A237" s="89"/>
      <c r="B237" s="43"/>
      <c r="C237" s="43"/>
      <c r="L237" s="89"/>
    </row>
    <row r="238">
      <c r="A238" s="89"/>
      <c r="B238" s="43"/>
      <c r="C238" s="43"/>
      <c r="L238" s="89"/>
    </row>
    <row r="239">
      <c r="A239" s="89"/>
      <c r="B239" s="43"/>
      <c r="C239" s="43"/>
      <c r="L239" s="89"/>
    </row>
    <row r="240">
      <c r="A240" s="89"/>
      <c r="B240" s="43"/>
      <c r="C240" s="43"/>
      <c r="L240" s="89"/>
    </row>
    <row r="241">
      <c r="A241" s="89"/>
      <c r="B241" s="43"/>
      <c r="C241" s="43"/>
      <c r="L241" s="89"/>
    </row>
    <row r="242">
      <c r="A242" s="89"/>
      <c r="B242" s="43"/>
      <c r="C242" s="43"/>
      <c r="L242" s="89"/>
    </row>
    <row r="243">
      <c r="A243" s="89"/>
      <c r="B243" s="43"/>
      <c r="C243" s="43"/>
      <c r="L243" s="89"/>
    </row>
    <row r="244">
      <c r="A244" s="89"/>
      <c r="B244" s="43"/>
      <c r="C244" s="43"/>
      <c r="L244" s="89"/>
    </row>
    <row r="245">
      <c r="A245" s="89"/>
      <c r="B245" s="43"/>
      <c r="C245" s="43"/>
      <c r="L245" s="89"/>
    </row>
    <row r="246">
      <c r="A246" s="89"/>
      <c r="B246" s="43"/>
      <c r="C246" s="43"/>
      <c r="L246" s="89"/>
    </row>
    <row r="247">
      <c r="A247" s="89"/>
      <c r="B247" s="43"/>
      <c r="C247" s="43"/>
      <c r="L247" s="89"/>
    </row>
    <row r="248">
      <c r="A248" s="89"/>
      <c r="B248" s="43"/>
      <c r="C248" s="43"/>
      <c r="L248" s="89"/>
    </row>
    <row r="249">
      <c r="A249" s="89"/>
      <c r="B249" s="43"/>
      <c r="C249" s="43"/>
      <c r="L249" s="89"/>
    </row>
    <row r="250">
      <c r="A250" s="89"/>
      <c r="B250" s="43"/>
      <c r="C250" s="43"/>
      <c r="L250" s="89"/>
    </row>
    <row r="251">
      <c r="A251" s="89"/>
      <c r="B251" s="43"/>
      <c r="C251" s="43"/>
      <c r="L251" s="89"/>
    </row>
    <row r="252">
      <c r="A252" s="89"/>
      <c r="B252" s="43"/>
      <c r="C252" s="43"/>
      <c r="L252" s="89"/>
    </row>
    <row r="253">
      <c r="A253" s="89"/>
      <c r="B253" s="43"/>
      <c r="C253" s="43"/>
      <c r="L253" s="89"/>
    </row>
    <row r="254">
      <c r="A254" s="89"/>
      <c r="B254" s="43"/>
      <c r="C254" s="43"/>
      <c r="L254" s="89"/>
    </row>
    <row r="255">
      <c r="A255" s="89"/>
      <c r="B255" s="43"/>
      <c r="C255" s="43"/>
      <c r="L255" s="89"/>
    </row>
    <row r="256">
      <c r="A256" s="89"/>
      <c r="B256" s="43"/>
      <c r="C256" s="43"/>
      <c r="L256" s="89"/>
    </row>
    <row r="257">
      <c r="A257" s="89"/>
      <c r="B257" s="43"/>
      <c r="C257" s="43"/>
      <c r="L257" s="89"/>
    </row>
    <row r="258">
      <c r="A258" s="89"/>
      <c r="B258" s="43"/>
      <c r="C258" s="43"/>
      <c r="L258" s="89"/>
    </row>
    <row r="259">
      <c r="A259" s="89"/>
      <c r="B259" s="43"/>
      <c r="C259" s="43"/>
      <c r="L259" s="89"/>
    </row>
    <row r="260">
      <c r="A260" s="89"/>
      <c r="B260" s="43"/>
      <c r="C260" s="43"/>
      <c r="L260" s="89"/>
    </row>
    <row r="261">
      <c r="A261" s="89"/>
      <c r="B261" s="43"/>
      <c r="C261" s="43"/>
      <c r="L261" s="89"/>
    </row>
    <row r="262">
      <c r="A262" s="89"/>
      <c r="B262" s="43"/>
      <c r="C262" s="43"/>
      <c r="L262" s="89"/>
    </row>
    <row r="263">
      <c r="A263" s="89"/>
      <c r="B263" s="43"/>
      <c r="C263" s="43"/>
      <c r="L263" s="89"/>
    </row>
    <row r="264">
      <c r="A264" s="89"/>
      <c r="B264" s="43"/>
      <c r="C264" s="43"/>
      <c r="L264" s="89"/>
    </row>
    <row r="265">
      <c r="A265" s="89"/>
      <c r="B265" s="43"/>
      <c r="C265" s="43"/>
      <c r="L265" s="89"/>
    </row>
    <row r="266">
      <c r="A266" s="89"/>
      <c r="B266" s="43"/>
      <c r="C266" s="43"/>
      <c r="L266" s="89"/>
    </row>
    <row r="267">
      <c r="A267" s="89"/>
      <c r="B267" s="43"/>
      <c r="C267" s="43"/>
      <c r="L267" s="89"/>
    </row>
    <row r="268">
      <c r="A268" s="89"/>
      <c r="B268" s="43"/>
      <c r="C268" s="43"/>
      <c r="L268" s="89"/>
    </row>
    <row r="269">
      <c r="A269" s="89"/>
      <c r="B269" s="43"/>
      <c r="C269" s="43"/>
      <c r="L269" s="89"/>
    </row>
    <row r="270">
      <c r="A270" s="89"/>
      <c r="B270" s="43"/>
      <c r="C270" s="43"/>
      <c r="L270" s="89"/>
    </row>
    <row r="271">
      <c r="A271" s="89"/>
      <c r="B271" s="43"/>
      <c r="C271" s="43"/>
      <c r="L271" s="89"/>
    </row>
    <row r="272">
      <c r="A272" s="89"/>
      <c r="B272" s="43"/>
      <c r="C272" s="43"/>
      <c r="L272" s="89"/>
    </row>
    <row r="273">
      <c r="A273" s="89"/>
      <c r="B273" s="43"/>
      <c r="C273" s="43"/>
      <c r="L273" s="89"/>
    </row>
    <row r="274">
      <c r="A274" s="89"/>
      <c r="B274" s="43"/>
      <c r="C274" s="43"/>
      <c r="L274" s="89"/>
    </row>
    <row r="275">
      <c r="A275" s="89"/>
      <c r="B275" s="43"/>
      <c r="C275" s="43"/>
      <c r="L275" s="89"/>
    </row>
    <row r="276">
      <c r="A276" s="89"/>
      <c r="B276" s="43"/>
      <c r="C276" s="43"/>
      <c r="L276" s="89"/>
    </row>
    <row r="277">
      <c r="A277" s="89"/>
      <c r="B277" s="43"/>
      <c r="C277" s="43"/>
      <c r="L277" s="89"/>
    </row>
    <row r="278">
      <c r="A278" s="89"/>
      <c r="B278" s="43"/>
      <c r="C278" s="43"/>
      <c r="L278" s="89"/>
    </row>
    <row r="279">
      <c r="A279" s="89"/>
      <c r="B279" s="43"/>
      <c r="C279" s="43"/>
      <c r="L279" s="89"/>
    </row>
    <row r="280">
      <c r="A280" s="89"/>
      <c r="B280" s="43"/>
      <c r="C280" s="43"/>
      <c r="L280" s="89"/>
    </row>
    <row r="281">
      <c r="A281" s="89"/>
      <c r="B281" s="43"/>
      <c r="C281" s="43"/>
      <c r="L281" s="89"/>
    </row>
    <row r="282">
      <c r="A282" s="89"/>
      <c r="B282" s="43"/>
      <c r="C282" s="43"/>
      <c r="L282" s="89"/>
    </row>
    <row r="283">
      <c r="A283" s="89"/>
      <c r="B283" s="43"/>
      <c r="C283" s="43"/>
      <c r="L283" s="89"/>
    </row>
    <row r="284">
      <c r="A284" s="89"/>
      <c r="B284" s="43"/>
      <c r="C284" s="43"/>
      <c r="L284" s="89"/>
    </row>
    <row r="285">
      <c r="A285" s="89"/>
      <c r="B285" s="43"/>
      <c r="C285" s="43"/>
      <c r="L285" s="89"/>
    </row>
    <row r="286">
      <c r="A286" s="89"/>
      <c r="B286" s="43"/>
      <c r="C286" s="43"/>
      <c r="L286" s="89"/>
    </row>
    <row r="287">
      <c r="A287" s="89"/>
      <c r="B287" s="43"/>
      <c r="C287" s="43"/>
      <c r="L287" s="89"/>
    </row>
    <row r="288">
      <c r="A288" s="89"/>
      <c r="B288" s="43"/>
      <c r="C288" s="43"/>
      <c r="L288" s="89"/>
    </row>
    <row r="289">
      <c r="A289" s="89"/>
      <c r="B289" s="43"/>
      <c r="C289" s="43"/>
      <c r="L289" s="89"/>
    </row>
    <row r="290">
      <c r="A290" s="89"/>
      <c r="B290" s="43"/>
      <c r="C290" s="43"/>
      <c r="L290" s="89"/>
    </row>
    <row r="291">
      <c r="A291" s="89"/>
      <c r="B291" s="43"/>
      <c r="C291" s="43"/>
      <c r="L291" s="89"/>
    </row>
    <row r="292">
      <c r="A292" s="89"/>
      <c r="B292" s="43"/>
      <c r="C292" s="43"/>
      <c r="L292" s="89"/>
    </row>
    <row r="293">
      <c r="A293" s="89"/>
      <c r="B293" s="43"/>
      <c r="C293" s="43"/>
      <c r="L293" s="89"/>
    </row>
    <row r="294">
      <c r="A294" s="89"/>
      <c r="B294" s="43"/>
      <c r="C294" s="43"/>
      <c r="L294" s="89"/>
    </row>
    <row r="295">
      <c r="A295" s="89"/>
      <c r="B295" s="43"/>
      <c r="C295" s="43"/>
      <c r="L295" s="89"/>
    </row>
    <row r="296">
      <c r="A296" s="89"/>
      <c r="B296" s="43"/>
      <c r="C296" s="43"/>
      <c r="L296" s="89"/>
    </row>
    <row r="297">
      <c r="A297" s="89"/>
      <c r="B297" s="43"/>
      <c r="C297" s="43"/>
      <c r="L297" s="89"/>
    </row>
    <row r="298">
      <c r="A298" s="89"/>
      <c r="B298" s="43"/>
      <c r="C298" s="43"/>
      <c r="L298" s="89"/>
    </row>
    <row r="299">
      <c r="A299" s="89"/>
      <c r="B299" s="43"/>
      <c r="C299" s="43"/>
      <c r="L299" s="89"/>
    </row>
    <row r="300">
      <c r="A300" s="89"/>
      <c r="B300" s="43"/>
      <c r="C300" s="43"/>
      <c r="L300" s="89"/>
    </row>
    <row r="301">
      <c r="A301" s="89"/>
      <c r="B301" s="43"/>
      <c r="C301" s="43"/>
      <c r="L301" s="89"/>
    </row>
    <row r="302">
      <c r="A302" s="89"/>
      <c r="B302" s="43"/>
      <c r="C302" s="43"/>
      <c r="L302" s="89"/>
    </row>
    <row r="303">
      <c r="A303" s="89"/>
      <c r="B303" s="43"/>
      <c r="C303" s="43"/>
      <c r="L303" s="89"/>
    </row>
    <row r="304">
      <c r="A304" s="89"/>
      <c r="B304" s="43"/>
      <c r="C304" s="43"/>
      <c r="L304" s="89"/>
    </row>
    <row r="305">
      <c r="A305" s="89"/>
      <c r="B305" s="43"/>
      <c r="C305" s="43"/>
      <c r="L305" s="89"/>
    </row>
    <row r="306">
      <c r="A306" s="89"/>
      <c r="B306" s="43"/>
      <c r="C306" s="43"/>
      <c r="L306" s="89"/>
    </row>
    <row r="307">
      <c r="A307" s="89"/>
      <c r="B307" s="43"/>
      <c r="C307" s="43"/>
      <c r="L307" s="89"/>
    </row>
    <row r="308">
      <c r="A308" s="89"/>
      <c r="B308" s="43"/>
      <c r="C308" s="43"/>
      <c r="L308" s="89"/>
    </row>
    <row r="309">
      <c r="A309" s="89"/>
      <c r="B309" s="43"/>
      <c r="C309" s="43"/>
      <c r="L309" s="89"/>
    </row>
    <row r="310">
      <c r="A310" s="89"/>
      <c r="B310" s="43"/>
      <c r="C310" s="43"/>
      <c r="L310" s="89"/>
    </row>
    <row r="311">
      <c r="A311" s="89"/>
      <c r="B311" s="43"/>
      <c r="C311" s="43"/>
      <c r="L311" s="89"/>
    </row>
    <row r="312">
      <c r="A312" s="89"/>
      <c r="B312" s="43"/>
      <c r="C312" s="43"/>
      <c r="L312" s="89"/>
    </row>
    <row r="313">
      <c r="A313" s="89"/>
      <c r="B313" s="43"/>
      <c r="C313" s="43"/>
      <c r="L313" s="89"/>
    </row>
    <row r="314">
      <c r="A314" s="89"/>
      <c r="B314" s="43"/>
      <c r="C314" s="43"/>
      <c r="L314" s="89"/>
    </row>
    <row r="315">
      <c r="A315" s="89"/>
      <c r="B315" s="43"/>
      <c r="C315" s="43"/>
      <c r="L315" s="89"/>
    </row>
    <row r="316">
      <c r="A316" s="89"/>
      <c r="B316" s="43"/>
      <c r="C316" s="43"/>
      <c r="L316" s="89"/>
    </row>
    <row r="317">
      <c r="A317" s="89"/>
      <c r="B317" s="43"/>
      <c r="C317" s="43"/>
      <c r="L317" s="89"/>
    </row>
    <row r="318">
      <c r="A318" s="89"/>
      <c r="B318" s="43"/>
      <c r="C318" s="43"/>
      <c r="L318" s="89"/>
    </row>
    <row r="319">
      <c r="A319" s="89"/>
      <c r="B319" s="43"/>
      <c r="C319" s="43"/>
      <c r="L319" s="89"/>
    </row>
    <row r="320">
      <c r="A320" s="89"/>
      <c r="B320" s="43"/>
      <c r="C320" s="43"/>
      <c r="L320" s="89"/>
    </row>
    <row r="321">
      <c r="A321" s="89"/>
      <c r="B321" s="43"/>
      <c r="C321" s="43"/>
      <c r="L321" s="89"/>
    </row>
    <row r="322">
      <c r="A322" s="89"/>
      <c r="B322" s="43"/>
      <c r="C322" s="43"/>
      <c r="L322" s="89"/>
    </row>
    <row r="323">
      <c r="A323" s="89"/>
      <c r="B323" s="43"/>
      <c r="C323" s="43"/>
      <c r="L323" s="89"/>
    </row>
    <row r="324">
      <c r="A324" s="89"/>
      <c r="B324" s="43"/>
      <c r="C324" s="43"/>
      <c r="L324" s="89"/>
    </row>
    <row r="325">
      <c r="A325" s="89"/>
      <c r="B325" s="43"/>
      <c r="C325" s="43"/>
      <c r="L325" s="89"/>
    </row>
    <row r="326">
      <c r="A326" s="89"/>
      <c r="B326" s="43"/>
      <c r="C326" s="43"/>
      <c r="L326" s="89"/>
    </row>
    <row r="327">
      <c r="A327" s="89"/>
      <c r="B327" s="43"/>
      <c r="C327" s="43"/>
      <c r="L327" s="89"/>
    </row>
    <row r="328">
      <c r="A328" s="89"/>
      <c r="B328" s="43"/>
      <c r="C328" s="43"/>
      <c r="L328" s="89"/>
    </row>
    <row r="329">
      <c r="A329" s="89"/>
      <c r="B329" s="43"/>
      <c r="C329" s="43"/>
      <c r="L329" s="89"/>
    </row>
    <row r="330">
      <c r="A330" s="89"/>
      <c r="B330" s="43"/>
      <c r="C330" s="43"/>
      <c r="L330" s="89"/>
    </row>
    <row r="331">
      <c r="A331" s="89"/>
      <c r="B331" s="43"/>
      <c r="C331" s="43"/>
      <c r="L331" s="89"/>
    </row>
    <row r="332">
      <c r="A332" s="89"/>
      <c r="B332" s="43"/>
      <c r="C332" s="43"/>
      <c r="L332" s="89"/>
    </row>
    <row r="333">
      <c r="A333" s="89"/>
      <c r="B333" s="43"/>
      <c r="C333" s="43"/>
      <c r="L333" s="89"/>
    </row>
    <row r="334">
      <c r="A334" s="89"/>
      <c r="B334" s="43"/>
      <c r="C334" s="43"/>
      <c r="L334" s="89"/>
    </row>
    <row r="335">
      <c r="A335" s="89"/>
      <c r="B335" s="43"/>
      <c r="C335" s="43"/>
      <c r="L335" s="89"/>
    </row>
    <row r="336">
      <c r="A336" s="89"/>
      <c r="B336" s="43"/>
      <c r="C336" s="43"/>
      <c r="L336" s="89"/>
    </row>
    <row r="337">
      <c r="A337" s="89"/>
      <c r="B337" s="43"/>
      <c r="C337" s="43"/>
      <c r="L337" s="89"/>
    </row>
    <row r="338">
      <c r="A338" s="89"/>
      <c r="B338" s="43"/>
      <c r="C338" s="43"/>
      <c r="L338" s="89"/>
    </row>
    <row r="339">
      <c r="A339" s="89"/>
      <c r="B339" s="43"/>
      <c r="C339" s="43"/>
      <c r="L339" s="89"/>
    </row>
    <row r="340">
      <c r="A340" s="89"/>
      <c r="B340" s="43"/>
      <c r="C340" s="43"/>
      <c r="L340" s="89"/>
    </row>
    <row r="341">
      <c r="A341" s="89"/>
      <c r="B341" s="43"/>
      <c r="C341" s="43"/>
      <c r="L341" s="89"/>
    </row>
    <row r="342">
      <c r="A342" s="89"/>
      <c r="B342" s="43"/>
      <c r="C342" s="43"/>
      <c r="L342" s="89"/>
    </row>
    <row r="343">
      <c r="A343" s="89"/>
      <c r="B343" s="43"/>
      <c r="C343" s="43"/>
      <c r="L343" s="89"/>
    </row>
    <row r="344">
      <c r="A344" s="89"/>
      <c r="B344" s="43"/>
      <c r="C344" s="43"/>
      <c r="L344" s="89"/>
    </row>
    <row r="345">
      <c r="A345" s="89"/>
      <c r="B345" s="43"/>
      <c r="C345" s="43"/>
      <c r="L345" s="89"/>
    </row>
    <row r="346">
      <c r="A346" s="89"/>
      <c r="B346" s="43"/>
      <c r="C346" s="43"/>
      <c r="L346" s="89"/>
    </row>
    <row r="347">
      <c r="A347" s="89"/>
      <c r="B347" s="43"/>
      <c r="C347" s="43"/>
      <c r="L347" s="89"/>
    </row>
    <row r="348">
      <c r="A348" s="89"/>
      <c r="B348" s="43"/>
      <c r="C348" s="43"/>
      <c r="L348" s="89"/>
    </row>
    <row r="349">
      <c r="A349" s="89"/>
      <c r="B349" s="43"/>
      <c r="C349" s="43"/>
      <c r="L349" s="89"/>
    </row>
    <row r="350">
      <c r="A350" s="89"/>
      <c r="B350" s="43"/>
      <c r="C350" s="43"/>
      <c r="L350" s="89"/>
    </row>
    <row r="351">
      <c r="A351" s="89"/>
      <c r="B351" s="43"/>
      <c r="C351" s="43"/>
      <c r="L351" s="89"/>
    </row>
    <row r="352">
      <c r="A352" s="89"/>
      <c r="B352" s="43"/>
      <c r="C352" s="43"/>
      <c r="L352" s="89"/>
    </row>
    <row r="353">
      <c r="A353" s="89"/>
      <c r="B353" s="43"/>
      <c r="C353" s="43"/>
      <c r="L353" s="89"/>
    </row>
    <row r="354">
      <c r="A354" s="89"/>
      <c r="B354" s="43"/>
      <c r="C354" s="43"/>
      <c r="L354" s="89"/>
    </row>
    <row r="355">
      <c r="A355" s="89"/>
      <c r="B355" s="43"/>
      <c r="C355" s="43"/>
      <c r="L355" s="89"/>
    </row>
    <row r="356">
      <c r="A356" s="89"/>
      <c r="B356" s="43"/>
      <c r="C356" s="43"/>
      <c r="L356" s="89"/>
    </row>
    <row r="357">
      <c r="A357" s="89"/>
      <c r="B357" s="43"/>
      <c r="C357" s="43"/>
      <c r="L357" s="89"/>
    </row>
    <row r="358">
      <c r="A358" s="89"/>
      <c r="B358" s="43"/>
      <c r="C358" s="43"/>
      <c r="L358" s="89"/>
    </row>
    <row r="359">
      <c r="A359" s="89"/>
      <c r="B359" s="43"/>
      <c r="C359" s="43"/>
      <c r="L359" s="89"/>
    </row>
    <row r="360">
      <c r="A360" s="89"/>
      <c r="B360" s="43"/>
      <c r="C360" s="43"/>
      <c r="L360" s="89"/>
    </row>
    <row r="361">
      <c r="A361" s="89"/>
      <c r="B361" s="43"/>
      <c r="C361" s="43"/>
      <c r="L361" s="89"/>
    </row>
    <row r="362">
      <c r="A362" s="89"/>
      <c r="B362" s="43"/>
      <c r="C362" s="43"/>
      <c r="L362" s="89"/>
    </row>
    <row r="363">
      <c r="A363" s="89"/>
      <c r="B363" s="43"/>
      <c r="C363" s="43"/>
      <c r="L363" s="89"/>
    </row>
    <row r="364">
      <c r="A364" s="89"/>
      <c r="B364" s="43"/>
      <c r="C364" s="43"/>
      <c r="L364" s="89"/>
    </row>
    <row r="365">
      <c r="A365" s="89"/>
      <c r="B365" s="43"/>
      <c r="C365" s="43"/>
      <c r="L365" s="89"/>
    </row>
    <row r="366">
      <c r="A366" s="89"/>
      <c r="B366" s="43"/>
      <c r="C366" s="43"/>
      <c r="L366" s="89"/>
    </row>
    <row r="367">
      <c r="A367" s="89"/>
      <c r="B367" s="43"/>
      <c r="C367" s="43"/>
      <c r="L367" s="89"/>
    </row>
    <row r="368">
      <c r="A368" s="89"/>
      <c r="B368" s="43"/>
      <c r="C368" s="43"/>
      <c r="L368" s="89"/>
    </row>
    <row r="369">
      <c r="A369" s="89"/>
      <c r="B369" s="43"/>
      <c r="C369" s="43"/>
      <c r="L369" s="89"/>
    </row>
    <row r="370">
      <c r="A370" s="89"/>
      <c r="B370" s="43"/>
      <c r="C370" s="43"/>
      <c r="L370" s="89"/>
    </row>
    <row r="371">
      <c r="A371" s="89"/>
      <c r="B371" s="43"/>
      <c r="C371" s="43"/>
      <c r="L371" s="89"/>
    </row>
    <row r="372">
      <c r="A372" s="89"/>
      <c r="B372" s="43"/>
      <c r="C372" s="43"/>
      <c r="L372" s="89"/>
    </row>
    <row r="373">
      <c r="A373" s="89"/>
      <c r="B373" s="43"/>
      <c r="C373" s="43"/>
      <c r="L373" s="89"/>
    </row>
    <row r="374">
      <c r="A374" s="89"/>
      <c r="B374" s="43"/>
      <c r="C374" s="43"/>
      <c r="L374" s="89"/>
    </row>
    <row r="375">
      <c r="A375" s="89"/>
      <c r="B375" s="43"/>
      <c r="C375" s="43"/>
      <c r="L375" s="89"/>
    </row>
    <row r="376">
      <c r="A376" s="89"/>
      <c r="B376" s="43"/>
      <c r="C376" s="43"/>
      <c r="L376" s="89"/>
    </row>
    <row r="377">
      <c r="A377" s="89"/>
      <c r="B377" s="43"/>
      <c r="C377" s="43"/>
      <c r="L377" s="89"/>
    </row>
    <row r="378">
      <c r="A378" s="89"/>
      <c r="B378" s="43"/>
      <c r="C378" s="43"/>
      <c r="L378" s="89"/>
    </row>
    <row r="379">
      <c r="A379" s="89"/>
      <c r="B379" s="43"/>
      <c r="C379" s="43"/>
      <c r="L379" s="89"/>
    </row>
    <row r="380">
      <c r="A380" s="89"/>
      <c r="B380" s="43"/>
      <c r="C380" s="43"/>
      <c r="L380" s="89"/>
    </row>
    <row r="381">
      <c r="A381" s="89"/>
      <c r="B381" s="43"/>
      <c r="C381" s="43"/>
      <c r="L381" s="89"/>
    </row>
    <row r="382">
      <c r="A382" s="89"/>
      <c r="B382" s="43"/>
      <c r="C382" s="43"/>
      <c r="L382" s="89"/>
    </row>
    <row r="383">
      <c r="A383" s="89"/>
      <c r="B383" s="43"/>
      <c r="C383" s="43"/>
      <c r="L383" s="89"/>
    </row>
    <row r="384">
      <c r="A384" s="89"/>
      <c r="B384" s="43"/>
      <c r="C384" s="43"/>
      <c r="L384" s="89"/>
    </row>
    <row r="385">
      <c r="A385" s="89"/>
      <c r="B385" s="43"/>
      <c r="C385" s="43"/>
      <c r="L385" s="89"/>
    </row>
    <row r="386">
      <c r="A386" s="89"/>
      <c r="B386" s="43"/>
      <c r="C386" s="43"/>
      <c r="L386" s="89"/>
    </row>
    <row r="387">
      <c r="A387" s="89"/>
      <c r="B387" s="43"/>
      <c r="C387" s="43"/>
      <c r="L387" s="89"/>
    </row>
    <row r="388">
      <c r="A388" s="89"/>
      <c r="B388" s="43"/>
      <c r="C388" s="43"/>
      <c r="L388" s="89"/>
    </row>
    <row r="389">
      <c r="A389" s="89"/>
      <c r="B389" s="43"/>
      <c r="C389" s="43"/>
      <c r="L389" s="89"/>
    </row>
    <row r="390">
      <c r="A390" s="89"/>
      <c r="B390" s="43"/>
      <c r="C390" s="43"/>
      <c r="L390" s="89"/>
    </row>
    <row r="391">
      <c r="A391" s="89"/>
      <c r="B391" s="43"/>
      <c r="C391" s="43"/>
      <c r="L391" s="89"/>
    </row>
    <row r="392">
      <c r="A392" s="89"/>
      <c r="B392" s="43"/>
      <c r="C392" s="43"/>
      <c r="L392" s="89"/>
    </row>
    <row r="393">
      <c r="A393" s="89"/>
      <c r="B393" s="43"/>
      <c r="C393" s="43"/>
      <c r="L393" s="89"/>
    </row>
    <row r="394">
      <c r="A394" s="89"/>
      <c r="B394" s="43"/>
      <c r="C394" s="43"/>
      <c r="L394" s="89"/>
    </row>
    <row r="395">
      <c r="A395" s="89"/>
      <c r="B395" s="43"/>
      <c r="C395" s="43"/>
      <c r="L395" s="89"/>
    </row>
    <row r="396">
      <c r="A396" s="89"/>
      <c r="B396" s="43"/>
      <c r="C396" s="43"/>
      <c r="L396" s="89"/>
    </row>
    <row r="397">
      <c r="A397" s="89"/>
      <c r="B397" s="43"/>
      <c r="C397" s="43"/>
      <c r="L397" s="89"/>
    </row>
    <row r="398">
      <c r="A398" s="89"/>
      <c r="B398" s="43"/>
      <c r="C398" s="43"/>
      <c r="L398" s="89"/>
    </row>
    <row r="399">
      <c r="A399" s="89"/>
      <c r="B399" s="43"/>
      <c r="C399" s="43"/>
      <c r="L399" s="89"/>
    </row>
    <row r="400">
      <c r="A400" s="89"/>
      <c r="B400" s="43"/>
      <c r="C400" s="43"/>
      <c r="L400" s="89"/>
    </row>
    <row r="401">
      <c r="A401" s="89"/>
      <c r="B401" s="43"/>
      <c r="C401" s="43"/>
      <c r="L401" s="89"/>
    </row>
    <row r="402">
      <c r="A402" s="89"/>
      <c r="B402" s="43"/>
      <c r="C402" s="43"/>
      <c r="L402" s="89"/>
    </row>
    <row r="403">
      <c r="A403" s="89"/>
      <c r="B403" s="43"/>
      <c r="C403" s="43"/>
      <c r="L403" s="89"/>
    </row>
    <row r="404">
      <c r="A404" s="89"/>
      <c r="B404" s="43"/>
      <c r="C404" s="43"/>
      <c r="L404" s="89"/>
    </row>
    <row r="405">
      <c r="A405" s="89"/>
      <c r="B405" s="43"/>
      <c r="C405" s="43"/>
      <c r="L405" s="89"/>
    </row>
    <row r="406">
      <c r="A406" s="89"/>
      <c r="B406" s="43"/>
      <c r="C406" s="43"/>
      <c r="L406" s="89"/>
    </row>
    <row r="407">
      <c r="A407" s="89"/>
      <c r="B407" s="43"/>
      <c r="C407" s="43"/>
      <c r="L407" s="89"/>
    </row>
    <row r="408">
      <c r="A408" s="89"/>
      <c r="B408" s="43"/>
      <c r="C408" s="43"/>
      <c r="L408" s="89"/>
    </row>
    <row r="409">
      <c r="A409" s="89"/>
      <c r="B409" s="43"/>
      <c r="C409" s="43"/>
      <c r="L409" s="89"/>
    </row>
    <row r="410">
      <c r="A410" s="89"/>
      <c r="B410" s="43"/>
      <c r="C410" s="43"/>
      <c r="L410" s="89"/>
    </row>
    <row r="411">
      <c r="A411" s="89"/>
      <c r="B411" s="43"/>
      <c r="C411" s="43"/>
      <c r="L411" s="89"/>
    </row>
    <row r="412">
      <c r="A412" s="89"/>
      <c r="B412" s="43"/>
      <c r="C412" s="43"/>
      <c r="L412" s="89"/>
    </row>
    <row r="413">
      <c r="A413" s="89"/>
      <c r="B413" s="43"/>
      <c r="C413" s="43"/>
      <c r="L413" s="89"/>
    </row>
    <row r="414">
      <c r="A414" s="89"/>
      <c r="B414" s="43"/>
      <c r="C414" s="43"/>
      <c r="L414" s="89"/>
    </row>
    <row r="415">
      <c r="A415" s="89"/>
      <c r="B415" s="43"/>
      <c r="C415" s="43"/>
      <c r="L415" s="89"/>
    </row>
    <row r="416">
      <c r="A416" s="89"/>
      <c r="B416" s="43"/>
      <c r="C416" s="43"/>
      <c r="L416" s="89"/>
    </row>
    <row r="417">
      <c r="A417" s="89"/>
      <c r="B417" s="43"/>
      <c r="C417" s="43"/>
      <c r="L417" s="89"/>
    </row>
    <row r="418">
      <c r="A418" s="89"/>
      <c r="B418" s="43"/>
      <c r="C418" s="43"/>
      <c r="L418" s="89"/>
    </row>
    <row r="419">
      <c r="A419" s="89"/>
      <c r="B419" s="43"/>
      <c r="C419" s="43"/>
      <c r="L419" s="89"/>
    </row>
    <row r="420">
      <c r="A420" s="89"/>
      <c r="B420" s="43"/>
      <c r="C420" s="43"/>
      <c r="L420" s="89"/>
    </row>
    <row r="421">
      <c r="A421" s="89"/>
      <c r="B421" s="43"/>
      <c r="C421" s="43"/>
      <c r="L421" s="89"/>
    </row>
    <row r="422">
      <c r="A422" s="89"/>
      <c r="B422" s="43"/>
      <c r="C422" s="43"/>
      <c r="L422" s="89"/>
    </row>
    <row r="423">
      <c r="A423" s="89"/>
      <c r="B423" s="43"/>
      <c r="C423" s="43"/>
      <c r="L423" s="89"/>
    </row>
    <row r="424">
      <c r="A424" s="89"/>
      <c r="B424" s="43"/>
      <c r="C424" s="43"/>
      <c r="L424" s="89"/>
    </row>
    <row r="425">
      <c r="A425" s="89"/>
      <c r="B425" s="43"/>
      <c r="C425" s="43"/>
      <c r="L425" s="89"/>
    </row>
    <row r="426">
      <c r="A426" s="89"/>
      <c r="B426" s="43"/>
      <c r="C426" s="43"/>
      <c r="L426" s="89"/>
    </row>
    <row r="427">
      <c r="A427" s="89"/>
      <c r="B427" s="43"/>
      <c r="C427" s="43"/>
      <c r="L427" s="89"/>
    </row>
    <row r="428">
      <c r="A428" s="89"/>
      <c r="B428" s="43"/>
      <c r="C428" s="43"/>
      <c r="L428" s="89"/>
    </row>
    <row r="429">
      <c r="A429" s="89"/>
      <c r="B429" s="43"/>
      <c r="C429" s="43"/>
      <c r="L429" s="89"/>
    </row>
    <row r="430">
      <c r="A430" s="89"/>
      <c r="B430" s="43"/>
      <c r="C430" s="43"/>
      <c r="L430" s="89"/>
    </row>
    <row r="431">
      <c r="A431" s="89"/>
      <c r="B431" s="43"/>
      <c r="C431" s="43"/>
      <c r="L431" s="89"/>
    </row>
    <row r="432">
      <c r="A432" s="89"/>
      <c r="B432" s="43"/>
      <c r="C432" s="43"/>
      <c r="L432" s="89"/>
    </row>
    <row r="433">
      <c r="A433" s="89"/>
      <c r="B433" s="43"/>
      <c r="C433" s="43"/>
      <c r="L433" s="89"/>
    </row>
    <row r="434">
      <c r="A434" s="89"/>
      <c r="B434" s="43"/>
      <c r="C434" s="43"/>
      <c r="L434" s="89"/>
    </row>
    <row r="435">
      <c r="A435" s="89"/>
      <c r="B435" s="43"/>
      <c r="C435" s="43"/>
      <c r="L435" s="89"/>
    </row>
    <row r="436">
      <c r="A436" s="89"/>
      <c r="B436" s="43"/>
      <c r="C436" s="43"/>
      <c r="L436" s="89"/>
    </row>
    <row r="437">
      <c r="A437" s="89"/>
      <c r="B437" s="43"/>
      <c r="C437" s="43"/>
      <c r="L437" s="89"/>
    </row>
    <row r="438">
      <c r="A438" s="89"/>
      <c r="B438" s="43"/>
      <c r="C438" s="43"/>
      <c r="L438" s="89"/>
    </row>
    <row r="439">
      <c r="A439" s="89"/>
      <c r="B439" s="43"/>
      <c r="C439" s="43"/>
      <c r="L439" s="89"/>
    </row>
    <row r="440">
      <c r="A440" s="89"/>
      <c r="B440" s="43"/>
      <c r="C440" s="43"/>
      <c r="L440" s="89"/>
    </row>
    <row r="441">
      <c r="A441" s="89"/>
      <c r="B441" s="43"/>
      <c r="C441" s="43"/>
      <c r="L441" s="89"/>
    </row>
    <row r="442">
      <c r="A442" s="89"/>
      <c r="B442" s="43"/>
      <c r="C442" s="43"/>
      <c r="L442" s="89"/>
    </row>
    <row r="443">
      <c r="A443" s="89"/>
      <c r="B443" s="43"/>
      <c r="C443" s="43"/>
      <c r="L443" s="89"/>
    </row>
    <row r="444">
      <c r="A444" s="89"/>
      <c r="B444" s="43"/>
      <c r="C444" s="43"/>
      <c r="L444" s="89"/>
    </row>
    <row r="445">
      <c r="A445" s="89"/>
      <c r="B445" s="43"/>
      <c r="C445" s="43"/>
      <c r="L445" s="89"/>
    </row>
    <row r="446">
      <c r="A446" s="89"/>
      <c r="B446" s="43"/>
      <c r="C446" s="43"/>
      <c r="L446" s="89"/>
    </row>
    <row r="447">
      <c r="A447" s="89"/>
      <c r="B447" s="43"/>
      <c r="C447" s="43"/>
      <c r="L447" s="89"/>
    </row>
    <row r="448">
      <c r="A448" s="89"/>
      <c r="B448" s="43"/>
      <c r="C448" s="43"/>
      <c r="L448" s="89"/>
    </row>
    <row r="449">
      <c r="A449" s="89"/>
      <c r="B449" s="43"/>
      <c r="C449" s="43"/>
      <c r="L449" s="89"/>
    </row>
    <row r="450">
      <c r="A450" s="89"/>
      <c r="B450" s="43"/>
      <c r="C450" s="43"/>
      <c r="L450" s="89"/>
    </row>
    <row r="451">
      <c r="A451" s="89"/>
      <c r="B451" s="43"/>
      <c r="C451" s="43"/>
      <c r="L451" s="89"/>
    </row>
    <row r="452">
      <c r="A452" s="89"/>
      <c r="B452" s="43"/>
      <c r="C452" s="43"/>
      <c r="L452" s="89"/>
    </row>
    <row r="453">
      <c r="A453" s="89"/>
      <c r="B453" s="43"/>
      <c r="C453" s="43"/>
      <c r="L453" s="89"/>
    </row>
    <row r="454">
      <c r="A454" s="89"/>
      <c r="B454" s="43"/>
      <c r="C454" s="43"/>
      <c r="L454" s="89"/>
    </row>
    <row r="455">
      <c r="A455" s="89"/>
      <c r="B455" s="43"/>
      <c r="C455" s="43"/>
      <c r="L455" s="89"/>
    </row>
    <row r="456">
      <c r="A456" s="89"/>
      <c r="B456" s="43"/>
      <c r="C456" s="43"/>
      <c r="L456" s="89"/>
    </row>
    <row r="457">
      <c r="A457" s="89"/>
      <c r="B457" s="43"/>
      <c r="C457" s="43"/>
      <c r="L457" s="89"/>
    </row>
    <row r="458">
      <c r="A458" s="89"/>
      <c r="B458" s="43"/>
      <c r="C458" s="43"/>
      <c r="L458" s="89"/>
    </row>
    <row r="459">
      <c r="A459" s="89"/>
      <c r="B459" s="43"/>
      <c r="C459" s="43"/>
      <c r="L459" s="89"/>
    </row>
    <row r="460">
      <c r="A460" s="89"/>
      <c r="B460" s="43"/>
      <c r="C460" s="43"/>
      <c r="L460" s="89"/>
    </row>
    <row r="461">
      <c r="A461" s="89"/>
      <c r="B461" s="43"/>
      <c r="C461" s="43"/>
      <c r="L461" s="89"/>
    </row>
    <row r="462">
      <c r="A462" s="89"/>
      <c r="B462" s="43"/>
      <c r="C462" s="43"/>
      <c r="L462" s="89"/>
    </row>
    <row r="463">
      <c r="A463" s="89"/>
      <c r="B463" s="43"/>
      <c r="C463" s="43"/>
      <c r="L463" s="89"/>
    </row>
    <row r="464">
      <c r="A464" s="89"/>
      <c r="B464" s="43"/>
      <c r="C464" s="43"/>
      <c r="L464" s="89"/>
    </row>
    <row r="465">
      <c r="A465" s="89"/>
      <c r="B465" s="43"/>
      <c r="C465" s="43"/>
      <c r="L465" s="89"/>
    </row>
    <row r="466">
      <c r="A466" s="89"/>
      <c r="B466" s="43"/>
      <c r="C466" s="43"/>
      <c r="L466" s="89"/>
    </row>
    <row r="467">
      <c r="A467" s="89"/>
      <c r="B467" s="43"/>
      <c r="C467" s="43"/>
      <c r="L467" s="89"/>
    </row>
    <row r="468">
      <c r="A468" s="89"/>
      <c r="B468" s="43"/>
      <c r="C468" s="43"/>
      <c r="L468" s="89"/>
    </row>
    <row r="469">
      <c r="A469" s="89"/>
      <c r="B469" s="43"/>
      <c r="C469" s="43"/>
      <c r="L469" s="89"/>
    </row>
    <row r="470">
      <c r="A470" s="89"/>
      <c r="B470" s="43"/>
      <c r="C470" s="43"/>
      <c r="L470" s="89"/>
    </row>
    <row r="471">
      <c r="A471" s="89"/>
      <c r="B471" s="43"/>
      <c r="C471" s="43"/>
      <c r="L471" s="89"/>
    </row>
    <row r="472">
      <c r="A472" s="89"/>
      <c r="B472" s="43"/>
      <c r="C472" s="43"/>
      <c r="L472" s="89"/>
    </row>
    <row r="473">
      <c r="A473" s="89"/>
      <c r="B473" s="43"/>
      <c r="C473" s="43"/>
      <c r="L473" s="89"/>
    </row>
    <row r="474">
      <c r="A474" s="89"/>
      <c r="B474" s="43"/>
      <c r="C474" s="43"/>
      <c r="L474" s="89"/>
    </row>
    <row r="475">
      <c r="A475" s="89"/>
      <c r="B475" s="43"/>
      <c r="C475" s="43"/>
      <c r="L475" s="89"/>
    </row>
    <row r="476">
      <c r="A476" s="89"/>
      <c r="B476" s="43"/>
      <c r="C476" s="43"/>
      <c r="L476" s="89"/>
    </row>
    <row r="477">
      <c r="A477" s="89"/>
      <c r="B477" s="43"/>
      <c r="C477" s="43"/>
      <c r="L477" s="89"/>
    </row>
    <row r="478">
      <c r="A478" s="89"/>
      <c r="B478" s="43"/>
      <c r="C478" s="43"/>
      <c r="L478" s="89"/>
    </row>
    <row r="479">
      <c r="A479" s="89"/>
      <c r="B479" s="43"/>
      <c r="C479" s="43"/>
      <c r="L479" s="89"/>
    </row>
    <row r="480">
      <c r="A480" s="89"/>
      <c r="B480" s="43"/>
      <c r="C480" s="43"/>
      <c r="L480" s="89"/>
    </row>
    <row r="481">
      <c r="A481" s="89"/>
      <c r="B481" s="43"/>
      <c r="C481" s="43"/>
      <c r="L481" s="89"/>
    </row>
    <row r="482">
      <c r="A482" s="89"/>
      <c r="B482" s="43"/>
      <c r="C482" s="43"/>
      <c r="L482" s="89"/>
    </row>
    <row r="483">
      <c r="A483" s="89"/>
      <c r="B483" s="43"/>
      <c r="C483" s="43"/>
      <c r="L483" s="89"/>
    </row>
    <row r="484">
      <c r="A484" s="89"/>
      <c r="B484" s="43"/>
      <c r="C484" s="43"/>
      <c r="L484" s="89"/>
    </row>
    <row r="485">
      <c r="A485" s="89"/>
      <c r="B485" s="43"/>
      <c r="C485" s="43"/>
      <c r="L485" s="89"/>
    </row>
    <row r="486">
      <c r="A486" s="89"/>
      <c r="B486" s="43"/>
      <c r="C486" s="43"/>
      <c r="L486" s="89"/>
    </row>
    <row r="487">
      <c r="A487" s="89"/>
      <c r="B487" s="43"/>
      <c r="C487" s="43"/>
      <c r="L487" s="89"/>
    </row>
    <row r="488">
      <c r="A488" s="89"/>
      <c r="B488" s="43"/>
      <c r="C488" s="43"/>
      <c r="L488" s="89"/>
    </row>
    <row r="489">
      <c r="A489" s="89"/>
      <c r="B489" s="43"/>
      <c r="C489" s="43"/>
      <c r="L489" s="89"/>
    </row>
    <row r="490">
      <c r="A490" s="89"/>
      <c r="B490" s="43"/>
      <c r="C490" s="43"/>
      <c r="L490" s="89"/>
    </row>
    <row r="491">
      <c r="A491" s="89"/>
      <c r="B491" s="43"/>
      <c r="C491" s="43"/>
      <c r="L491" s="89"/>
    </row>
    <row r="492">
      <c r="A492" s="89"/>
      <c r="B492" s="43"/>
      <c r="C492" s="43"/>
      <c r="L492" s="89"/>
    </row>
    <row r="493">
      <c r="A493" s="89"/>
      <c r="B493" s="43"/>
      <c r="C493" s="43"/>
      <c r="L493" s="89"/>
    </row>
    <row r="494">
      <c r="A494" s="89"/>
      <c r="B494" s="43"/>
      <c r="C494" s="43"/>
      <c r="L494" s="89"/>
    </row>
    <row r="495">
      <c r="A495" s="89"/>
      <c r="B495" s="43"/>
      <c r="C495" s="43"/>
      <c r="L495" s="89"/>
    </row>
    <row r="496">
      <c r="A496" s="89"/>
      <c r="B496" s="43"/>
      <c r="C496" s="43"/>
      <c r="L496" s="89"/>
    </row>
    <row r="497">
      <c r="A497" s="89"/>
      <c r="B497" s="43"/>
      <c r="C497" s="43"/>
      <c r="L497" s="89"/>
    </row>
    <row r="498">
      <c r="A498" s="89"/>
      <c r="B498" s="43"/>
      <c r="C498" s="43"/>
      <c r="L498" s="89"/>
    </row>
    <row r="499">
      <c r="A499" s="89"/>
      <c r="B499" s="43"/>
      <c r="C499" s="43"/>
      <c r="L499" s="89"/>
    </row>
    <row r="500">
      <c r="A500" s="89"/>
      <c r="B500" s="43"/>
      <c r="C500" s="43"/>
      <c r="L500" s="89"/>
    </row>
    <row r="501">
      <c r="A501" s="89"/>
      <c r="B501" s="43"/>
      <c r="C501" s="43"/>
      <c r="L501" s="89"/>
    </row>
    <row r="502">
      <c r="A502" s="89"/>
      <c r="B502" s="43"/>
      <c r="C502" s="43"/>
      <c r="L502" s="89"/>
    </row>
    <row r="503">
      <c r="A503" s="89"/>
      <c r="B503" s="43"/>
      <c r="C503" s="43"/>
      <c r="L503" s="89"/>
    </row>
    <row r="504">
      <c r="A504" s="89"/>
      <c r="B504" s="43"/>
      <c r="C504" s="43"/>
      <c r="L504" s="89"/>
    </row>
    <row r="505">
      <c r="A505" s="89"/>
      <c r="B505" s="43"/>
      <c r="C505" s="43"/>
      <c r="L505" s="89"/>
    </row>
    <row r="506">
      <c r="A506" s="89"/>
      <c r="B506" s="43"/>
      <c r="C506" s="43"/>
      <c r="L506" s="89"/>
    </row>
    <row r="507">
      <c r="A507" s="89"/>
      <c r="B507" s="43"/>
      <c r="C507" s="43"/>
      <c r="L507" s="89"/>
    </row>
    <row r="508">
      <c r="A508" s="89"/>
      <c r="B508" s="43"/>
      <c r="C508" s="43"/>
      <c r="L508" s="89"/>
    </row>
    <row r="509">
      <c r="A509" s="89"/>
      <c r="B509" s="43"/>
      <c r="C509" s="43"/>
      <c r="L509" s="89"/>
    </row>
    <row r="510">
      <c r="A510" s="89"/>
      <c r="B510" s="43"/>
      <c r="C510" s="43"/>
      <c r="L510" s="89"/>
    </row>
    <row r="511">
      <c r="A511" s="89"/>
      <c r="B511" s="43"/>
      <c r="C511" s="43"/>
      <c r="L511" s="89"/>
    </row>
    <row r="512">
      <c r="A512" s="89"/>
      <c r="B512" s="43"/>
      <c r="C512" s="43"/>
      <c r="L512" s="89"/>
    </row>
    <row r="513">
      <c r="A513" s="89"/>
      <c r="B513" s="43"/>
      <c r="C513" s="43"/>
      <c r="L513" s="89"/>
    </row>
    <row r="514">
      <c r="A514" s="89"/>
      <c r="B514" s="43"/>
      <c r="C514" s="43"/>
      <c r="L514" s="89"/>
    </row>
    <row r="515">
      <c r="A515" s="89"/>
      <c r="B515" s="43"/>
      <c r="C515" s="43"/>
      <c r="L515" s="89"/>
    </row>
    <row r="516">
      <c r="A516" s="89"/>
      <c r="B516" s="43"/>
      <c r="C516" s="43"/>
      <c r="L516" s="89"/>
    </row>
    <row r="517">
      <c r="A517" s="89"/>
      <c r="B517" s="43"/>
      <c r="C517" s="43"/>
      <c r="L517" s="89"/>
    </row>
    <row r="518">
      <c r="A518" s="89"/>
      <c r="B518" s="43"/>
      <c r="C518" s="43"/>
      <c r="L518" s="89"/>
    </row>
    <row r="519">
      <c r="A519" s="89"/>
      <c r="B519" s="43"/>
      <c r="C519" s="43"/>
      <c r="L519" s="89"/>
    </row>
    <row r="520">
      <c r="A520" s="89"/>
      <c r="B520" s="43"/>
      <c r="C520" s="43"/>
      <c r="L520" s="89"/>
    </row>
    <row r="521">
      <c r="A521" s="89"/>
      <c r="B521" s="43"/>
      <c r="C521" s="43"/>
      <c r="L521" s="89"/>
    </row>
    <row r="522">
      <c r="A522" s="89"/>
      <c r="B522" s="43"/>
      <c r="C522" s="43"/>
      <c r="L522" s="89"/>
    </row>
    <row r="523">
      <c r="A523" s="89"/>
      <c r="B523" s="43"/>
      <c r="C523" s="43"/>
      <c r="L523" s="89"/>
    </row>
    <row r="524">
      <c r="A524" s="89"/>
      <c r="B524" s="43"/>
      <c r="C524" s="43"/>
      <c r="L524" s="89"/>
    </row>
    <row r="525">
      <c r="A525" s="89"/>
      <c r="B525" s="43"/>
      <c r="C525" s="43"/>
      <c r="L525" s="89"/>
    </row>
    <row r="526">
      <c r="A526" s="89"/>
      <c r="B526" s="43"/>
      <c r="C526" s="43"/>
      <c r="L526" s="89"/>
    </row>
    <row r="527">
      <c r="A527" s="89"/>
      <c r="B527" s="43"/>
      <c r="C527" s="43"/>
      <c r="L527" s="89"/>
    </row>
    <row r="528">
      <c r="A528" s="89"/>
      <c r="B528" s="43"/>
      <c r="C528" s="43"/>
      <c r="L528" s="89"/>
    </row>
    <row r="529">
      <c r="A529" s="89"/>
      <c r="B529" s="43"/>
      <c r="C529" s="43"/>
      <c r="L529" s="89"/>
    </row>
    <row r="530">
      <c r="A530" s="89"/>
      <c r="B530" s="43"/>
      <c r="C530" s="43"/>
      <c r="L530" s="89"/>
    </row>
    <row r="531">
      <c r="A531" s="89"/>
      <c r="B531" s="43"/>
      <c r="C531" s="43"/>
      <c r="L531" s="89"/>
    </row>
    <row r="532">
      <c r="A532" s="89"/>
      <c r="B532" s="43"/>
      <c r="C532" s="43"/>
      <c r="L532" s="89"/>
    </row>
    <row r="533">
      <c r="A533" s="89"/>
      <c r="B533" s="43"/>
      <c r="C533" s="43"/>
      <c r="L533" s="89"/>
    </row>
    <row r="534">
      <c r="A534" s="89"/>
      <c r="B534" s="43"/>
      <c r="C534" s="43"/>
      <c r="L534" s="89"/>
    </row>
    <row r="535">
      <c r="A535" s="89"/>
      <c r="B535" s="43"/>
      <c r="C535" s="43"/>
      <c r="L535" s="89"/>
    </row>
    <row r="536">
      <c r="A536" s="89"/>
      <c r="B536" s="43"/>
      <c r="C536" s="43"/>
      <c r="L536" s="89"/>
    </row>
    <row r="537">
      <c r="A537" s="89"/>
      <c r="B537" s="43"/>
      <c r="C537" s="43"/>
      <c r="L537" s="89"/>
    </row>
    <row r="538">
      <c r="A538" s="89"/>
      <c r="B538" s="43"/>
      <c r="C538" s="43"/>
      <c r="L538" s="89"/>
    </row>
    <row r="539">
      <c r="A539" s="89"/>
      <c r="B539" s="43"/>
      <c r="C539" s="43"/>
      <c r="L539" s="89"/>
    </row>
    <row r="540">
      <c r="A540" s="89"/>
      <c r="B540" s="43"/>
      <c r="C540" s="43"/>
      <c r="L540" s="89"/>
    </row>
    <row r="541">
      <c r="A541" s="89"/>
      <c r="B541" s="43"/>
      <c r="C541" s="43"/>
      <c r="L541" s="89"/>
    </row>
    <row r="542">
      <c r="A542" s="89"/>
      <c r="B542" s="43"/>
      <c r="C542" s="43"/>
      <c r="L542" s="89"/>
    </row>
    <row r="543">
      <c r="A543" s="89"/>
      <c r="B543" s="43"/>
      <c r="C543" s="43"/>
      <c r="L543" s="89"/>
    </row>
    <row r="544">
      <c r="A544" s="89"/>
      <c r="B544" s="43"/>
      <c r="C544" s="43"/>
      <c r="L544" s="89"/>
    </row>
    <row r="545">
      <c r="A545" s="89"/>
      <c r="B545" s="43"/>
      <c r="C545" s="43"/>
      <c r="L545" s="89"/>
    </row>
    <row r="546">
      <c r="A546" s="89"/>
      <c r="B546" s="43"/>
      <c r="C546" s="43"/>
      <c r="L546" s="89"/>
    </row>
    <row r="547">
      <c r="A547" s="89"/>
      <c r="B547" s="43"/>
      <c r="C547" s="43"/>
      <c r="L547" s="89"/>
    </row>
    <row r="548">
      <c r="A548" s="89"/>
      <c r="B548" s="43"/>
      <c r="C548" s="43"/>
      <c r="L548" s="89"/>
    </row>
    <row r="549">
      <c r="A549" s="89"/>
      <c r="B549" s="43"/>
      <c r="C549" s="43"/>
      <c r="L549" s="89"/>
    </row>
    <row r="550">
      <c r="A550" s="89"/>
      <c r="B550" s="43"/>
      <c r="C550" s="43"/>
      <c r="L550" s="89"/>
    </row>
    <row r="551">
      <c r="A551" s="89"/>
      <c r="B551" s="43"/>
      <c r="C551" s="43"/>
      <c r="L551" s="89"/>
    </row>
    <row r="552">
      <c r="A552" s="89"/>
      <c r="B552" s="43"/>
      <c r="C552" s="43"/>
      <c r="L552" s="89"/>
    </row>
    <row r="553">
      <c r="A553" s="89"/>
      <c r="B553" s="43"/>
      <c r="C553" s="43"/>
      <c r="L553" s="89"/>
    </row>
    <row r="554">
      <c r="A554" s="89"/>
      <c r="B554" s="43"/>
      <c r="C554" s="43"/>
      <c r="L554" s="89"/>
    </row>
    <row r="555">
      <c r="A555" s="89"/>
      <c r="B555" s="43"/>
      <c r="C555" s="43"/>
      <c r="L555" s="89"/>
    </row>
    <row r="556">
      <c r="A556" s="89"/>
      <c r="B556" s="43"/>
      <c r="C556" s="43"/>
      <c r="L556" s="89"/>
    </row>
    <row r="557">
      <c r="A557" s="89"/>
      <c r="B557" s="43"/>
      <c r="C557" s="43"/>
      <c r="L557" s="89"/>
    </row>
    <row r="558">
      <c r="A558" s="89"/>
      <c r="B558" s="43"/>
      <c r="C558" s="43"/>
      <c r="L558" s="89"/>
    </row>
    <row r="559">
      <c r="A559" s="89"/>
      <c r="B559" s="43"/>
      <c r="C559" s="43"/>
      <c r="L559" s="89"/>
    </row>
    <row r="560">
      <c r="A560" s="89"/>
      <c r="B560" s="43"/>
      <c r="C560" s="43"/>
      <c r="L560" s="89"/>
    </row>
    <row r="561">
      <c r="A561" s="89"/>
      <c r="B561" s="43"/>
      <c r="C561" s="43"/>
      <c r="L561" s="89"/>
    </row>
    <row r="562">
      <c r="A562" s="89"/>
      <c r="B562" s="43"/>
      <c r="C562" s="43"/>
      <c r="L562" s="89"/>
    </row>
    <row r="563">
      <c r="A563" s="89"/>
      <c r="B563" s="43"/>
      <c r="C563" s="43"/>
      <c r="L563" s="89"/>
    </row>
    <row r="564">
      <c r="A564" s="89"/>
      <c r="B564" s="43"/>
      <c r="C564" s="43"/>
      <c r="L564" s="89"/>
    </row>
    <row r="565">
      <c r="A565" s="89"/>
      <c r="B565" s="43"/>
      <c r="C565" s="43"/>
      <c r="L565" s="89"/>
    </row>
    <row r="566">
      <c r="A566" s="89"/>
      <c r="B566" s="43"/>
      <c r="C566" s="43"/>
      <c r="L566" s="89"/>
    </row>
    <row r="567">
      <c r="A567" s="89"/>
      <c r="B567" s="43"/>
      <c r="C567" s="43"/>
      <c r="L567" s="89"/>
    </row>
    <row r="568">
      <c r="A568" s="89"/>
      <c r="B568" s="43"/>
      <c r="C568" s="43"/>
      <c r="L568" s="89"/>
    </row>
    <row r="569">
      <c r="A569" s="89"/>
      <c r="B569" s="43"/>
      <c r="C569" s="43"/>
      <c r="L569" s="89"/>
    </row>
    <row r="570">
      <c r="A570" s="89"/>
      <c r="B570" s="43"/>
      <c r="C570" s="43"/>
      <c r="L570" s="89"/>
    </row>
    <row r="571">
      <c r="A571" s="89"/>
      <c r="B571" s="43"/>
      <c r="C571" s="43"/>
      <c r="L571" s="89"/>
    </row>
    <row r="572">
      <c r="A572" s="89"/>
      <c r="B572" s="43"/>
      <c r="C572" s="43"/>
      <c r="L572" s="89"/>
    </row>
    <row r="573">
      <c r="A573" s="89"/>
      <c r="B573" s="43"/>
      <c r="C573" s="43"/>
      <c r="L573" s="89"/>
    </row>
    <row r="574">
      <c r="A574" s="89"/>
      <c r="B574" s="43"/>
      <c r="C574" s="43"/>
      <c r="L574" s="89"/>
    </row>
    <row r="575">
      <c r="A575" s="89"/>
      <c r="B575" s="43"/>
      <c r="C575" s="43"/>
      <c r="L575" s="89"/>
    </row>
    <row r="576">
      <c r="A576" s="89"/>
      <c r="B576" s="43"/>
      <c r="C576" s="43"/>
      <c r="L576" s="89"/>
    </row>
    <row r="577">
      <c r="A577" s="89"/>
      <c r="B577" s="43"/>
      <c r="C577" s="43"/>
      <c r="L577" s="89"/>
    </row>
    <row r="578">
      <c r="A578" s="89"/>
      <c r="B578" s="43"/>
      <c r="C578" s="43"/>
      <c r="L578" s="89"/>
    </row>
    <row r="579">
      <c r="A579" s="89"/>
      <c r="B579" s="43"/>
      <c r="C579" s="43"/>
      <c r="L579" s="89"/>
    </row>
    <row r="580">
      <c r="A580" s="89"/>
      <c r="B580" s="43"/>
      <c r="C580" s="43"/>
      <c r="L580" s="89"/>
    </row>
    <row r="581">
      <c r="A581" s="89"/>
      <c r="B581" s="43"/>
      <c r="C581" s="43"/>
      <c r="L581" s="89"/>
    </row>
    <row r="582">
      <c r="A582" s="89"/>
      <c r="B582" s="43"/>
      <c r="C582" s="43"/>
      <c r="L582" s="89"/>
    </row>
    <row r="583">
      <c r="A583" s="89"/>
      <c r="B583" s="43"/>
      <c r="C583" s="43"/>
      <c r="L583" s="89"/>
    </row>
    <row r="584">
      <c r="A584" s="89"/>
      <c r="B584" s="43"/>
      <c r="C584" s="43"/>
      <c r="L584" s="89"/>
    </row>
    <row r="585">
      <c r="A585" s="89"/>
      <c r="B585" s="43"/>
      <c r="C585" s="43"/>
      <c r="L585" s="89"/>
    </row>
    <row r="586">
      <c r="A586" s="89"/>
      <c r="B586" s="43"/>
      <c r="C586" s="43"/>
      <c r="L586" s="89"/>
    </row>
    <row r="587">
      <c r="A587" s="89"/>
      <c r="B587" s="43"/>
      <c r="C587" s="43"/>
      <c r="L587" s="89"/>
    </row>
    <row r="588">
      <c r="A588" s="89"/>
      <c r="B588" s="43"/>
      <c r="C588" s="43"/>
      <c r="L588" s="89"/>
    </row>
    <row r="589">
      <c r="A589" s="89"/>
      <c r="B589" s="43"/>
      <c r="C589" s="43"/>
      <c r="L589" s="89"/>
    </row>
    <row r="590">
      <c r="A590" s="89"/>
      <c r="B590" s="43"/>
      <c r="C590" s="43"/>
      <c r="L590" s="89"/>
    </row>
    <row r="591">
      <c r="A591" s="89"/>
      <c r="B591" s="43"/>
      <c r="C591" s="43"/>
      <c r="L591" s="89"/>
    </row>
    <row r="592">
      <c r="A592" s="89"/>
      <c r="B592" s="43"/>
      <c r="C592" s="43"/>
      <c r="L592" s="89"/>
    </row>
    <row r="593">
      <c r="A593" s="89"/>
      <c r="B593" s="43"/>
      <c r="C593" s="43"/>
      <c r="L593" s="89"/>
    </row>
    <row r="594">
      <c r="A594" s="89"/>
      <c r="B594" s="43"/>
      <c r="C594" s="43"/>
      <c r="L594" s="89"/>
    </row>
    <row r="595">
      <c r="A595" s="89"/>
      <c r="B595" s="43"/>
      <c r="C595" s="43"/>
      <c r="L595" s="89"/>
    </row>
    <row r="596">
      <c r="A596" s="89"/>
      <c r="B596" s="43"/>
      <c r="C596" s="43"/>
      <c r="L596" s="89"/>
    </row>
    <row r="597">
      <c r="A597" s="89"/>
      <c r="B597" s="43"/>
      <c r="C597" s="43"/>
      <c r="L597" s="89"/>
    </row>
    <row r="598">
      <c r="A598" s="89"/>
      <c r="B598" s="43"/>
      <c r="C598" s="43"/>
      <c r="L598" s="89"/>
    </row>
    <row r="599">
      <c r="A599" s="89"/>
      <c r="B599" s="43"/>
      <c r="C599" s="43"/>
      <c r="L599" s="89"/>
    </row>
    <row r="600">
      <c r="A600" s="89"/>
      <c r="B600" s="43"/>
      <c r="C600" s="43"/>
      <c r="L600" s="89"/>
    </row>
    <row r="601">
      <c r="A601" s="89"/>
      <c r="B601" s="43"/>
      <c r="C601" s="43"/>
      <c r="L601" s="89"/>
    </row>
    <row r="602">
      <c r="A602" s="89"/>
      <c r="B602" s="43"/>
      <c r="C602" s="43"/>
      <c r="L602" s="89"/>
    </row>
    <row r="603">
      <c r="A603" s="89"/>
      <c r="B603" s="43"/>
      <c r="C603" s="43"/>
      <c r="L603" s="89"/>
    </row>
    <row r="604">
      <c r="A604" s="89"/>
      <c r="B604" s="43"/>
      <c r="C604" s="43"/>
      <c r="L604" s="89"/>
    </row>
    <row r="605">
      <c r="A605" s="89"/>
      <c r="B605" s="43"/>
      <c r="C605" s="43"/>
      <c r="L605" s="89"/>
    </row>
    <row r="606">
      <c r="A606" s="89"/>
      <c r="B606" s="43"/>
      <c r="C606" s="43"/>
      <c r="L606" s="89"/>
    </row>
    <row r="607">
      <c r="A607" s="89"/>
      <c r="B607" s="43"/>
      <c r="C607" s="43"/>
      <c r="L607" s="89"/>
    </row>
    <row r="608">
      <c r="A608" s="89"/>
      <c r="B608" s="43"/>
      <c r="C608" s="43"/>
      <c r="L608" s="89"/>
    </row>
    <row r="609">
      <c r="A609" s="89"/>
      <c r="B609" s="43"/>
      <c r="C609" s="43"/>
      <c r="L609" s="89"/>
    </row>
    <row r="610">
      <c r="A610" s="89"/>
      <c r="B610" s="43"/>
      <c r="C610" s="43"/>
      <c r="L610" s="89"/>
    </row>
    <row r="611">
      <c r="A611" s="89"/>
      <c r="B611" s="43"/>
      <c r="C611" s="43"/>
      <c r="L611" s="89"/>
    </row>
    <row r="612">
      <c r="A612" s="89"/>
      <c r="B612" s="43"/>
      <c r="C612" s="43"/>
      <c r="L612" s="89"/>
    </row>
    <row r="613">
      <c r="A613" s="89"/>
      <c r="B613" s="43"/>
      <c r="C613" s="43"/>
      <c r="L613" s="89"/>
    </row>
    <row r="614">
      <c r="A614" s="89"/>
      <c r="B614" s="43"/>
      <c r="C614" s="43"/>
      <c r="L614" s="89"/>
    </row>
    <row r="615">
      <c r="A615" s="89"/>
      <c r="B615" s="43"/>
      <c r="C615" s="43"/>
      <c r="L615" s="89"/>
    </row>
    <row r="616">
      <c r="A616" s="89"/>
      <c r="B616" s="43"/>
      <c r="C616" s="43"/>
      <c r="L616" s="89"/>
    </row>
    <row r="617">
      <c r="A617" s="89"/>
      <c r="B617" s="43"/>
      <c r="C617" s="43"/>
      <c r="L617" s="89"/>
    </row>
    <row r="618">
      <c r="A618" s="89"/>
      <c r="B618" s="43"/>
      <c r="C618" s="43"/>
      <c r="L618" s="89"/>
    </row>
    <row r="619">
      <c r="A619" s="89"/>
      <c r="B619" s="43"/>
      <c r="C619" s="43"/>
      <c r="L619" s="89"/>
    </row>
    <row r="620">
      <c r="A620" s="89"/>
      <c r="B620" s="43"/>
      <c r="C620" s="43"/>
      <c r="L620" s="89"/>
    </row>
    <row r="621">
      <c r="A621" s="89"/>
      <c r="B621" s="43"/>
      <c r="C621" s="43"/>
      <c r="L621" s="89"/>
    </row>
    <row r="622">
      <c r="A622" s="89"/>
      <c r="B622" s="43"/>
      <c r="C622" s="43"/>
      <c r="L622" s="89"/>
    </row>
    <row r="623">
      <c r="A623" s="89"/>
      <c r="B623" s="43"/>
      <c r="C623" s="43"/>
      <c r="L623" s="89"/>
    </row>
    <row r="624">
      <c r="A624" s="89"/>
      <c r="B624" s="43"/>
      <c r="C624" s="43"/>
      <c r="L624" s="89"/>
    </row>
    <row r="625">
      <c r="A625" s="89"/>
      <c r="B625" s="43"/>
      <c r="C625" s="43"/>
      <c r="L625" s="89"/>
    </row>
    <row r="626">
      <c r="A626" s="89"/>
      <c r="B626" s="43"/>
      <c r="C626" s="43"/>
      <c r="L626" s="89"/>
    </row>
    <row r="627">
      <c r="A627" s="89"/>
      <c r="B627" s="43"/>
      <c r="C627" s="43"/>
      <c r="L627" s="89"/>
    </row>
    <row r="628">
      <c r="A628" s="89"/>
      <c r="B628" s="43"/>
      <c r="C628" s="43"/>
      <c r="L628" s="89"/>
    </row>
    <row r="629">
      <c r="A629" s="89"/>
      <c r="B629" s="43"/>
      <c r="C629" s="43"/>
      <c r="L629" s="89"/>
    </row>
    <row r="630">
      <c r="A630" s="89"/>
      <c r="B630" s="43"/>
      <c r="C630" s="43"/>
      <c r="L630" s="89"/>
    </row>
    <row r="631">
      <c r="A631" s="89"/>
      <c r="B631" s="43"/>
      <c r="C631" s="43"/>
      <c r="L631" s="89"/>
    </row>
    <row r="632">
      <c r="A632" s="89"/>
      <c r="B632" s="43"/>
      <c r="C632" s="43"/>
      <c r="L632" s="89"/>
    </row>
    <row r="633">
      <c r="A633" s="89"/>
      <c r="B633" s="43"/>
      <c r="C633" s="43"/>
      <c r="L633" s="89"/>
    </row>
    <row r="634">
      <c r="A634" s="89"/>
      <c r="B634" s="43"/>
      <c r="C634" s="43"/>
      <c r="L634" s="89"/>
    </row>
    <row r="635">
      <c r="A635" s="89"/>
      <c r="B635" s="43"/>
      <c r="C635" s="43"/>
      <c r="L635" s="89"/>
    </row>
    <row r="636">
      <c r="A636" s="89"/>
      <c r="B636" s="43"/>
      <c r="C636" s="43"/>
      <c r="L636" s="89"/>
    </row>
    <row r="637">
      <c r="A637" s="89"/>
      <c r="B637" s="43"/>
      <c r="C637" s="43"/>
      <c r="L637" s="89"/>
    </row>
    <row r="638">
      <c r="A638" s="89"/>
      <c r="B638" s="43"/>
      <c r="C638" s="43"/>
      <c r="L638" s="89"/>
    </row>
    <row r="639">
      <c r="A639" s="89"/>
      <c r="B639" s="43"/>
      <c r="C639" s="43"/>
      <c r="L639" s="89"/>
    </row>
    <row r="640">
      <c r="A640" s="89"/>
      <c r="B640" s="43"/>
      <c r="C640" s="43"/>
      <c r="L640" s="89"/>
    </row>
    <row r="641">
      <c r="A641" s="89"/>
      <c r="B641" s="43"/>
      <c r="C641" s="43"/>
      <c r="L641" s="89"/>
    </row>
    <row r="642">
      <c r="A642" s="89"/>
      <c r="B642" s="43"/>
      <c r="C642" s="43"/>
      <c r="L642" s="89"/>
    </row>
    <row r="643">
      <c r="A643" s="89"/>
      <c r="B643" s="43"/>
      <c r="C643" s="43"/>
      <c r="L643" s="89"/>
    </row>
    <row r="644">
      <c r="A644" s="89"/>
      <c r="B644" s="43"/>
      <c r="C644" s="43"/>
      <c r="L644" s="89"/>
    </row>
    <row r="645">
      <c r="A645" s="89"/>
      <c r="B645" s="43"/>
      <c r="C645" s="43"/>
      <c r="L645" s="89"/>
    </row>
    <row r="646">
      <c r="A646" s="89"/>
      <c r="B646" s="43"/>
      <c r="C646" s="43"/>
      <c r="L646" s="89"/>
    </row>
    <row r="647">
      <c r="A647" s="89"/>
      <c r="B647" s="43"/>
      <c r="C647" s="43"/>
      <c r="L647" s="89"/>
    </row>
    <row r="648">
      <c r="A648" s="89"/>
      <c r="B648" s="43"/>
      <c r="C648" s="43"/>
      <c r="L648" s="89"/>
    </row>
    <row r="649">
      <c r="A649" s="89"/>
      <c r="B649" s="43"/>
      <c r="C649" s="43"/>
      <c r="L649" s="89"/>
    </row>
    <row r="650">
      <c r="A650" s="89"/>
      <c r="B650" s="43"/>
      <c r="C650" s="43"/>
      <c r="L650" s="89"/>
    </row>
    <row r="651">
      <c r="A651" s="89"/>
      <c r="B651" s="43"/>
      <c r="C651" s="43"/>
      <c r="L651" s="89"/>
    </row>
    <row r="652">
      <c r="A652" s="89"/>
      <c r="B652" s="43"/>
      <c r="C652" s="43"/>
      <c r="L652" s="89"/>
    </row>
    <row r="653">
      <c r="A653" s="89"/>
      <c r="B653" s="43"/>
      <c r="C653" s="43"/>
      <c r="L653" s="89"/>
    </row>
    <row r="654">
      <c r="A654" s="89"/>
      <c r="B654" s="43"/>
      <c r="C654" s="43"/>
      <c r="L654" s="89"/>
    </row>
    <row r="655">
      <c r="A655" s="89"/>
      <c r="B655" s="43"/>
      <c r="C655" s="43"/>
      <c r="L655" s="89"/>
    </row>
    <row r="656">
      <c r="A656" s="89"/>
      <c r="B656" s="43"/>
      <c r="C656" s="43"/>
      <c r="L656" s="89"/>
    </row>
    <row r="657">
      <c r="A657" s="89"/>
      <c r="B657" s="43"/>
      <c r="C657" s="43"/>
      <c r="L657" s="89"/>
    </row>
    <row r="658">
      <c r="A658" s="89"/>
      <c r="B658" s="43"/>
      <c r="C658" s="43"/>
      <c r="L658" s="89"/>
    </row>
    <row r="659">
      <c r="A659" s="89"/>
      <c r="B659" s="43"/>
      <c r="C659" s="43"/>
      <c r="L659" s="89"/>
    </row>
    <row r="660">
      <c r="A660" s="89"/>
      <c r="B660" s="43"/>
      <c r="C660" s="43"/>
      <c r="L660" s="89"/>
    </row>
    <row r="661">
      <c r="A661" s="89"/>
      <c r="B661" s="43"/>
      <c r="C661" s="43"/>
      <c r="L661" s="89"/>
    </row>
    <row r="662">
      <c r="A662" s="89"/>
      <c r="B662" s="43"/>
      <c r="C662" s="43"/>
      <c r="L662" s="89"/>
    </row>
    <row r="663">
      <c r="A663" s="89"/>
      <c r="B663" s="43"/>
      <c r="C663" s="43"/>
      <c r="L663" s="89"/>
    </row>
    <row r="664">
      <c r="A664" s="89"/>
      <c r="B664" s="43"/>
      <c r="C664" s="43"/>
      <c r="L664" s="89"/>
    </row>
    <row r="665">
      <c r="A665" s="89"/>
      <c r="B665" s="43"/>
      <c r="C665" s="43"/>
      <c r="L665" s="89"/>
    </row>
    <row r="666">
      <c r="A666" s="89"/>
      <c r="B666" s="43"/>
      <c r="C666" s="43"/>
      <c r="L666" s="89"/>
    </row>
    <row r="667">
      <c r="A667" s="89"/>
      <c r="B667" s="43"/>
      <c r="C667" s="43"/>
      <c r="L667" s="89"/>
    </row>
    <row r="668">
      <c r="A668" s="89"/>
      <c r="B668" s="43"/>
      <c r="C668" s="43"/>
      <c r="L668" s="89"/>
    </row>
    <row r="669">
      <c r="A669" s="89"/>
      <c r="B669" s="43"/>
      <c r="C669" s="43"/>
      <c r="L669" s="89"/>
    </row>
    <row r="670">
      <c r="A670" s="89"/>
      <c r="B670" s="43"/>
      <c r="C670" s="43"/>
      <c r="L670" s="89"/>
    </row>
    <row r="671">
      <c r="A671" s="89"/>
      <c r="B671" s="43"/>
      <c r="C671" s="43"/>
      <c r="L671" s="89"/>
    </row>
    <row r="672">
      <c r="A672" s="89"/>
      <c r="B672" s="43"/>
      <c r="C672" s="43"/>
      <c r="L672" s="89"/>
    </row>
    <row r="673">
      <c r="A673" s="89"/>
      <c r="B673" s="43"/>
      <c r="C673" s="43"/>
      <c r="L673" s="89"/>
    </row>
    <row r="674">
      <c r="A674" s="89"/>
      <c r="B674" s="43"/>
      <c r="C674" s="43"/>
      <c r="L674" s="89"/>
    </row>
    <row r="675">
      <c r="A675" s="89"/>
      <c r="B675" s="43"/>
      <c r="C675" s="43"/>
      <c r="L675" s="89"/>
    </row>
    <row r="676">
      <c r="A676" s="89"/>
      <c r="B676" s="43"/>
      <c r="C676" s="43"/>
      <c r="L676" s="89"/>
    </row>
    <row r="677">
      <c r="A677" s="89"/>
      <c r="B677" s="43"/>
      <c r="C677" s="43"/>
      <c r="L677" s="89"/>
    </row>
    <row r="678">
      <c r="A678" s="89"/>
      <c r="B678" s="43"/>
      <c r="C678" s="43"/>
      <c r="L678" s="89"/>
    </row>
    <row r="679">
      <c r="A679" s="89"/>
      <c r="B679" s="43"/>
      <c r="C679" s="43"/>
      <c r="L679" s="89"/>
    </row>
    <row r="680">
      <c r="A680" s="89"/>
      <c r="B680" s="43"/>
      <c r="C680" s="43"/>
      <c r="L680" s="89"/>
    </row>
    <row r="681">
      <c r="A681" s="89"/>
      <c r="B681" s="43"/>
      <c r="C681" s="43"/>
      <c r="L681" s="89"/>
    </row>
    <row r="682">
      <c r="A682" s="89"/>
      <c r="B682" s="43"/>
      <c r="C682" s="43"/>
      <c r="L682" s="89"/>
    </row>
    <row r="683">
      <c r="A683" s="89"/>
      <c r="B683" s="43"/>
      <c r="C683" s="43"/>
      <c r="L683" s="89"/>
    </row>
    <row r="684">
      <c r="A684" s="89"/>
      <c r="B684" s="43"/>
      <c r="C684" s="43"/>
      <c r="L684" s="89"/>
    </row>
    <row r="685">
      <c r="A685" s="89"/>
      <c r="B685" s="43"/>
      <c r="C685" s="43"/>
      <c r="L685" s="89"/>
    </row>
    <row r="686">
      <c r="A686" s="89"/>
      <c r="B686" s="43"/>
      <c r="C686" s="43"/>
      <c r="L686" s="89"/>
    </row>
    <row r="687">
      <c r="A687" s="89"/>
      <c r="B687" s="43"/>
      <c r="C687" s="43"/>
      <c r="L687" s="89"/>
    </row>
    <row r="688">
      <c r="A688" s="89"/>
      <c r="B688" s="43"/>
      <c r="C688" s="43"/>
      <c r="L688" s="89"/>
    </row>
    <row r="689">
      <c r="A689" s="89"/>
      <c r="B689" s="43"/>
      <c r="C689" s="43"/>
      <c r="L689" s="89"/>
    </row>
    <row r="690">
      <c r="A690" s="89"/>
      <c r="B690" s="43"/>
      <c r="C690" s="43"/>
      <c r="L690" s="89"/>
    </row>
    <row r="691">
      <c r="A691" s="89"/>
      <c r="B691" s="43"/>
      <c r="C691" s="43"/>
      <c r="L691" s="89"/>
    </row>
    <row r="692">
      <c r="A692" s="89"/>
      <c r="B692" s="43"/>
      <c r="C692" s="43"/>
      <c r="L692" s="89"/>
    </row>
    <row r="693">
      <c r="A693" s="89"/>
      <c r="B693" s="43"/>
      <c r="C693" s="43"/>
      <c r="L693" s="89"/>
    </row>
    <row r="694">
      <c r="A694" s="89"/>
      <c r="B694" s="43"/>
      <c r="C694" s="43"/>
      <c r="L694" s="89"/>
    </row>
    <row r="695">
      <c r="A695" s="89"/>
      <c r="B695" s="43"/>
      <c r="C695" s="43"/>
      <c r="L695" s="89"/>
    </row>
    <row r="696">
      <c r="A696" s="89"/>
      <c r="B696" s="43"/>
      <c r="C696" s="43"/>
      <c r="L696" s="89"/>
    </row>
    <row r="697">
      <c r="A697" s="89"/>
      <c r="B697" s="43"/>
      <c r="C697" s="43"/>
      <c r="L697" s="89"/>
    </row>
    <row r="698">
      <c r="A698" s="89"/>
      <c r="B698" s="43"/>
      <c r="C698" s="43"/>
      <c r="L698" s="89"/>
    </row>
    <row r="699">
      <c r="A699" s="89"/>
      <c r="B699" s="43"/>
      <c r="C699" s="43"/>
      <c r="L699" s="89"/>
    </row>
    <row r="700">
      <c r="A700" s="89"/>
      <c r="B700" s="43"/>
      <c r="C700" s="43"/>
      <c r="L700" s="89"/>
    </row>
    <row r="701">
      <c r="A701" s="89"/>
      <c r="B701" s="43"/>
      <c r="C701" s="43"/>
      <c r="L701" s="89"/>
    </row>
    <row r="702">
      <c r="A702" s="89"/>
      <c r="B702" s="43"/>
      <c r="C702" s="43"/>
      <c r="L702" s="89"/>
    </row>
    <row r="703">
      <c r="A703" s="89"/>
      <c r="B703" s="43"/>
      <c r="C703" s="43"/>
      <c r="L703" s="89"/>
    </row>
    <row r="704">
      <c r="A704" s="89"/>
      <c r="B704" s="43"/>
      <c r="C704" s="43"/>
      <c r="L704" s="89"/>
    </row>
    <row r="705">
      <c r="A705" s="89"/>
      <c r="B705" s="43"/>
      <c r="C705" s="43"/>
      <c r="L705" s="89"/>
    </row>
    <row r="706">
      <c r="A706" s="89"/>
      <c r="B706" s="43"/>
      <c r="C706" s="43"/>
      <c r="L706" s="89"/>
    </row>
    <row r="707">
      <c r="A707" s="89"/>
      <c r="B707" s="43"/>
      <c r="C707" s="43"/>
      <c r="L707" s="89"/>
    </row>
    <row r="708">
      <c r="A708" s="89"/>
      <c r="B708" s="43"/>
      <c r="C708" s="43"/>
      <c r="L708" s="89"/>
    </row>
    <row r="709">
      <c r="A709" s="89"/>
      <c r="B709" s="43"/>
      <c r="C709" s="43"/>
      <c r="L709" s="89"/>
    </row>
    <row r="710">
      <c r="A710" s="89"/>
      <c r="B710" s="43"/>
      <c r="C710" s="43"/>
      <c r="L710" s="89"/>
    </row>
    <row r="711">
      <c r="A711" s="89"/>
      <c r="B711" s="43"/>
      <c r="C711" s="43"/>
      <c r="L711" s="89"/>
    </row>
    <row r="712">
      <c r="A712" s="89"/>
      <c r="B712" s="43"/>
      <c r="C712" s="43"/>
      <c r="L712" s="89"/>
    </row>
    <row r="713">
      <c r="A713" s="89"/>
      <c r="B713" s="43"/>
      <c r="C713" s="43"/>
      <c r="L713" s="89"/>
    </row>
    <row r="714">
      <c r="A714" s="89"/>
      <c r="B714" s="43"/>
      <c r="C714" s="43"/>
      <c r="L714" s="89"/>
    </row>
    <row r="715">
      <c r="A715" s="89"/>
      <c r="B715" s="43"/>
      <c r="C715" s="43"/>
      <c r="L715" s="89"/>
    </row>
    <row r="716">
      <c r="A716" s="89"/>
      <c r="B716" s="43"/>
      <c r="C716" s="43"/>
      <c r="L716" s="89"/>
    </row>
    <row r="717">
      <c r="A717" s="89"/>
      <c r="B717" s="43"/>
      <c r="C717" s="43"/>
      <c r="L717" s="89"/>
    </row>
    <row r="718">
      <c r="A718" s="89"/>
      <c r="B718" s="43"/>
      <c r="C718" s="43"/>
      <c r="L718" s="89"/>
    </row>
    <row r="719">
      <c r="A719" s="89"/>
      <c r="B719" s="43"/>
      <c r="C719" s="43"/>
      <c r="L719" s="89"/>
    </row>
    <row r="720">
      <c r="A720" s="89"/>
      <c r="B720" s="43"/>
      <c r="C720" s="43"/>
      <c r="L720" s="89"/>
    </row>
    <row r="721">
      <c r="A721" s="89"/>
      <c r="B721" s="43"/>
      <c r="C721" s="43"/>
      <c r="L721" s="89"/>
    </row>
    <row r="722">
      <c r="A722" s="89"/>
      <c r="B722" s="43"/>
      <c r="C722" s="43"/>
      <c r="L722" s="89"/>
    </row>
    <row r="723">
      <c r="A723" s="89"/>
      <c r="B723" s="43"/>
      <c r="C723" s="43"/>
      <c r="L723" s="89"/>
    </row>
    <row r="724">
      <c r="A724" s="89"/>
      <c r="B724" s="43"/>
      <c r="C724" s="43"/>
      <c r="L724" s="89"/>
    </row>
    <row r="725">
      <c r="A725" s="89"/>
      <c r="B725" s="43"/>
      <c r="C725" s="43"/>
      <c r="L725" s="89"/>
    </row>
    <row r="726">
      <c r="A726" s="89"/>
      <c r="B726" s="43"/>
      <c r="C726" s="43"/>
      <c r="L726" s="89"/>
    </row>
    <row r="727">
      <c r="A727" s="89"/>
      <c r="B727" s="43"/>
      <c r="C727" s="43"/>
      <c r="L727" s="89"/>
    </row>
    <row r="728">
      <c r="A728" s="89"/>
      <c r="B728" s="43"/>
      <c r="C728" s="43"/>
      <c r="L728" s="89"/>
    </row>
    <row r="729">
      <c r="A729" s="89"/>
      <c r="B729" s="43"/>
      <c r="C729" s="43"/>
      <c r="L729" s="89"/>
    </row>
    <row r="730">
      <c r="A730" s="89"/>
      <c r="B730" s="43"/>
      <c r="C730" s="43"/>
      <c r="L730" s="89"/>
    </row>
    <row r="731">
      <c r="A731" s="89"/>
      <c r="B731" s="43"/>
      <c r="C731" s="43"/>
      <c r="L731" s="89"/>
    </row>
    <row r="732">
      <c r="A732" s="89"/>
      <c r="B732" s="43"/>
      <c r="C732" s="43"/>
      <c r="L732" s="89"/>
    </row>
    <row r="733">
      <c r="A733" s="89"/>
      <c r="B733" s="43"/>
      <c r="C733" s="43"/>
      <c r="L733" s="89"/>
    </row>
    <row r="734">
      <c r="A734" s="89"/>
      <c r="B734" s="43"/>
      <c r="C734" s="43"/>
      <c r="L734" s="89"/>
    </row>
    <row r="735">
      <c r="A735" s="89"/>
      <c r="B735" s="43"/>
      <c r="C735" s="43"/>
      <c r="L735" s="89"/>
    </row>
    <row r="736">
      <c r="A736" s="89"/>
      <c r="B736" s="43"/>
      <c r="C736" s="43"/>
      <c r="L736" s="89"/>
    </row>
    <row r="737">
      <c r="A737" s="89"/>
      <c r="B737" s="43"/>
      <c r="C737" s="43"/>
      <c r="L737" s="89"/>
    </row>
    <row r="738">
      <c r="A738" s="89"/>
      <c r="B738" s="43"/>
      <c r="C738" s="43"/>
      <c r="L738" s="89"/>
    </row>
    <row r="739">
      <c r="A739" s="89"/>
      <c r="B739" s="43"/>
      <c r="C739" s="43"/>
      <c r="L739" s="89"/>
    </row>
    <row r="740">
      <c r="A740" s="89"/>
      <c r="B740" s="43"/>
      <c r="C740" s="43"/>
      <c r="L740" s="89"/>
    </row>
    <row r="741">
      <c r="A741" s="89"/>
      <c r="B741" s="43"/>
      <c r="C741" s="43"/>
      <c r="L741" s="89"/>
    </row>
    <row r="742">
      <c r="A742" s="89"/>
      <c r="B742" s="43"/>
      <c r="C742" s="43"/>
      <c r="L742" s="89"/>
    </row>
    <row r="743">
      <c r="A743" s="89"/>
      <c r="B743" s="43"/>
      <c r="C743" s="43"/>
      <c r="L743" s="89"/>
    </row>
    <row r="744">
      <c r="A744" s="89"/>
      <c r="B744" s="43"/>
      <c r="C744" s="43"/>
      <c r="L744" s="89"/>
    </row>
    <row r="745">
      <c r="A745" s="89"/>
      <c r="B745" s="43"/>
      <c r="C745" s="43"/>
      <c r="L745" s="89"/>
    </row>
    <row r="746">
      <c r="A746" s="89"/>
      <c r="B746" s="43"/>
      <c r="C746" s="43"/>
      <c r="L746" s="89"/>
    </row>
    <row r="747">
      <c r="A747" s="89"/>
      <c r="B747" s="43"/>
      <c r="C747" s="43"/>
      <c r="L747" s="89"/>
    </row>
    <row r="748">
      <c r="A748" s="89"/>
      <c r="B748" s="43"/>
      <c r="C748" s="43"/>
      <c r="L748" s="89"/>
    </row>
    <row r="749">
      <c r="A749" s="89"/>
      <c r="B749" s="43"/>
      <c r="C749" s="43"/>
      <c r="L749" s="89"/>
    </row>
    <row r="750">
      <c r="A750" s="89"/>
      <c r="B750" s="43"/>
      <c r="C750" s="43"/>
      <c r="L750" s="89"/>
    </row>
    <row r="751">
      <c r="A751" s="89"/>
      <c r="B751" s="43"/>
      <c r="C751" s="43"/>
      <c r="L751" s="89"/>
    </row>
    <row r="752">
      <c r="A752" s="89"/>
      <c r="B752" s="43"/>
      <c r="C752" s="43"/>
      <c r="L752" s="89"/>
    </row>
    <row r="753">
      <c r="A753" s="89"/>
      <c r="B753" s="43"/>
      <c r="C753" s="43"/>
      <c r="L753" s="89"/>
    </row>
    <row r="754">
      <c r="A754" s="89"/>
      <c r="B754" s="43"/>
      <c r="C754" s="43"/>
      <c r="L754" s="89"/>
    </row>
    <row r="755">
      <c r="A755" s="89"/>
      <c r="B755" s="43"/>
      <c r="C755" s="43"/>
      <c r="L755" s="89"/>
    </row>
    <row r="756">
      <c r="A756" s="89"/>
      <c r="B756" s="43"/>
      <c r="C756" s="43"/>
      <c r="L756" s="89"/>
    </row>
    <row r="757">
      <c r="A757" s="89"/>
      <c r="B757" s="43"/>
      <c r="C757" s="43"/>
      <c r="L757" s="89"/>
    </row>
    <row r="758">
      <c r="A758" s="89"/>
      <c r="B758" s="43"/>
      <c r="C758" s="43"/>
      <c r="L758" s="89"/>
    </row>
    <row r="759">
      <c r="A759" s="89"/>
      <c r="B759" s="43"/>
      <c r="C759" s="43"/>
      <c r="L759" s="89"/>
    </row>
    <row r="760">
      <c r="A760" s="89"/>
      <c r="B760" s="43"/>
      <c r="C760" s="43"/>
      <c r="L760" s="89"/>
    </row>
    <row r="761">
      <c r="A761" s="89"/>
      <c r="B761" s="43"/>
      <c r="C761" s="43"/>
      <c r="L761" s="89"/>
    </row>
    <row r="762">
      <c r="A762" s="89"/>
      <c r="B762" s="43"/>
      <c r="C762" s="43"/>
      <c r="L762" s="89"/>
    </row>
    <row r="763">
      <c r="A763" s="89"/>
      <c r="B763" s="43"/>
      <c r="C763" s="43"/>
      <c r="L763" s="89"/>
    </row>
    <row r="764">
      <c r="A764" s="89"/>
      <c r="B764" s="43"/>
      <c r="C764" s="43"/>
      <c r="L764" s="89"/>
    </row>
    <row r="765">
      <c r="A765" s="89"/>
      <c r="B765" s="43"/>
      <c r="C765" s="43"/>
      <c r="L765" s="89"/>
    </row>
    <row r="766">
      <c r="A766" s="89"/>
      <c r="B766" s="43"/>
      <c r="C766" s="43"/>
      <c r="L766" s="89"/>
    </row>
    <row r="767">
      <c r="A767" s="89"/>
      <c r="B767" s="43"/>
      <c r="C767" s="43"/>
      <c r="L767" s="89"/>
    </row>
    <row r="768">
      <c r="A768" s="89"/>
      <c r="B768" s="43"/>
      <c r="C768" s="43"/>
      <c r="L768" s="89"/>
    </row>
    <row r="769">
      <c r="A769" s="89"/>
      <c r="B769" s="43"/>
      <c r="C769" s="43"/>
      <c r="L769" s="89"/>
    </row>
    <row r="770">
      <c r="A770" s="89"/>
      <c r="B770" s="43"/>
      <c r="C770" s="43"/>
      <c r="L770" s="89"/>
    </row>
    <row r="771">
      <c r="A771" s="89"/>
      <c r="B771" s="43"/>
      <c r="C771" s="43"/>
      <c r="L771" s="89"/>
    </row>
    <row r="772">
      <c r="A772" s="89"/>
      <c r="B772" s="43"/>
      <c r="C772" s="43"/>
      <c r="L772" s="89"/>
    </row>
    <row r="773">
      <c r="A773" s="89"/>
      <c r="B773" s="43"/>
      <c r="C773" s="43"/>
      <c r="L773" s="89"/>
    </row>
    <row r="774">
      <c r="A774" s="89"/>
      <c r="B774" s="43"/>
      <c r="C774" s="43"/>
      <c r="L774" s="89"/>
    </row>
    <row r="775">
      <c r="A775" s="89"/>
      <c r="B775" s="43"/>
      <c r="C775" s="43"/>
      <c r="L775" s="89"/>
    </row>
    <row r="776">
      <c r="A776" s="89"/>
      <c r="B776" s="43"/>
      <c r="C776" s="43"/>
      <c r="L776" s="89"/>
    </row>
    <row r="777">
      <c r="A777" s="89"/>
      <c r="B777" s="43"/>
      <c r="C777" s="43"/>
      <c r="L777" s="89"/>
    </row>
    <row r="778">
      <c r="A778" s="89"/>
      <c r="B778" s="43"/>
      <c r="C778" s="43"/>
      <c r="L778" s="89"/>
    </row>
    <row r="779">
      <c r="A779" s="89"/>
      <c r="B779" s="43"/>
      <c r="C779" s="43"/>
      <c r="L779" s="89"/>
    </row>
    <row r="780">
      <c r="A780" s="89"/>
      <c r="B780" s="43"/>
      <c r="C780" s="43"/>
      <c r="L780" s="89"/>
    </row>
    <row r="781">
      <c r="A781" s="89"/>
      <c r="B781" s="43"/>
      <c r="C781" s="43"/>
      <c r="L781" s="89"/>
    </row>
    <row r="782">
      <c r="A782" s="89"/>
      <c r="B782" s="43"/>
      <c r="C782" s="43"/>
      <c r="L782" s="89"/>
    </row>
    <row r="783">
      <c r="A783" s="89"/>
      <c r="B783" s="43"/>
      <c r="C783" s="43"/>
      <c r="L783" s="89"/>
    </row>
    <row r="784">
      <c r="A784" s="89"/>
      <c r="B784" s="43"/>
      <c r="C784" s="43"/>
      <c r="L784" s="89"/>
    </row>
    <row r="785">
      <c r="A785" s="89"/>
      <c r="B785" s="43"/>
      <c r="C785" s="43"/>
      <c r="L785" s="89"/>
    </row>
    <row r="786">
      <c r="A786" s="89"/>
      <c r="B786" s="43"/>
      <c r="C786" s="43"/>
      <c r="L786" s="89"/>
    </row>
    <row r="787">
      <c r="A787" s="89"/>
      <c r="B787" s="43"/>
      <c r="C787" s="43"/>
      <c r="L787" s="89"/>
    </row>
    <row r="788">
      <c r="A788" s="89"/>
      <c r="B788" s="43"/>
      <c r="C788" s="43"/>
      <c r="L788" s="89"/>
    </row>
    <row r="789">
      <c r="A789" s="89"/>
      <c r="B789" s="43"/>
      <c r="C789" s="43"/>
      <c r="L789" s="89"/>
    </row>
    <row r="790">
      <c r="A790" s="89"/>
      <c r="B790" s="43"/>
      <c r="C790" s="43"/>
      <c r="L790" s="89"/>
    </row>
    <row r="791">
      <c r="A791" s="89"/>
      <c r="B791" s="43"/>
      <c r="C791" s="43"/>
      <c r="L791" s="89"/>
    </row>
    <row r="792">
      <c r="A792" s="89"/>
      <c r="B792" s="43"/>
      <c r="C792" s="43"/>
      <c r="L792" s="89"/>
    </row>
    <row r="793">
      <c r="A793" s="89"/>
      <c r="B793" s="43"/>
      <c r="C793" s="43"/>
      <c r="L793" s="89"/>
    </row>
    <row r="794">
      <c r="A794" s="89"/>
      <c r="B794" s="43"/>
      <c r="C794" s="43"/>
      <c r="L794" s="89"/>
    </row>
    <row r="795">
      <c r="A795" s="89"/>
      <c r="B795" s="43"/>
      <c r="C795" s="43"/>
      <c r="L795" s="89"/>
    </row>
    <row r="796">
      <c r="A796" s="89"/>
      <c r="B796" s="43"/>
      <c r="C796" s="43"/>
      <c r="L796" s="89"/>
    </row>
    <row r="797">
      <c r="A797" s="89"/>
      <c r="B797" s="43"/>
      <c r="C797" s="43"/>
      <c r="L797" s="89"/>
    </row>
    <row r="798">
      <c r="A798" s="89"/>
      <c r="B798" s="43"/>
      <c r="C798" s="43"/>
      <c r="L798" s="89"/>
    </row>
    <row r="799">
      <c r="A799" s="89"/>
      <c r="B799" s="43"/>
      <c r="C799" s="43"/>
      <c r="L799" s="89"/>
    </row>
    <row r="800">
      <c r="A800" s="89"/>
      <c r="B800" s="43"/>
      <c r="C800" s="43"/>
      <c r="L800" s="89"/>
    </row>
    <row r="801">
      <c r="A801" s="89"/>
      <c r="B801" s="43"/>
      <c r="C801" s="43"/>
      <c r="L801" s="89"/>
    </row>
    <row r="802">
      <c r="A802" s="89"/>
      <c r="B802" s="43"/>
      <c r="C802" s="43"/>
      <c r="L802" s="89"/>
    </row>
    <row r="803">
      <c r="A803" s="89"/>
      <c r="B803" s="43"/>
      <c r="C803" s="43"/>
      <c r="L803" s="89"/>
    </row>
    <row r="804">
      <c r="A804" s="89"/>
      <c r="B804" s="43"/>
      <c r="C804" s="43"/>
      <c r="L804" s="89"/>
    </row>
    <row r="805">
      <c r="A805" s="89"/>
      <c r="B805" s="43"/>
      <c r="C805" s="43"/>
      <c r="L805" s="89"/>
    </row>
    <row r="806">
      <c r="A806" s="89"/>
      <c r="B806" s="43"/>
      <c r="C806" s="43"/>
      <c r="L806" s="89"/>
    </row>
    <row r="807">
      <c r="A807" s="89"/>
      <c r="B807" s="43"/>
      <c r="C807" s="43"/>
      <c r="L807" s="89"/>
    </row>
    <row r="808">
      <c r="A808" s="89"/>
      <c r="B808" s="43"/>
      <c r="C808" s="43"/>
      <c r="L808" s="89"/>
    </row>
    <row r="809">
      <c r="A809" s="89"/>
      <c r="B809" s="43"/>
      <c r="C809" s="43"/>
      <c r="L809" s="89"/>
    </row>
    <row r="810">
      <c r="A810" s="89"/>
      <c r="B810" s="43"/>
      <c r="C810" s="43"/>
      <c r="L810" s="89"/>
    </row>
    <row r="811">
      <c r="A811" s="89"/>
      <c r="B811" s="43"/>
      <c r="C811" s="43"/>
      <c r="L811" s="89"/>
    </row>
    <row r="812">
      <c r="A812" s="89"/>
      <c r="B812" s="43"/>
      <c r="C812" s="43"/>
      <c r="L812" s="89"/>
    </row>
    <row r="813">
      <c r="A813" s="89"/>
      <c r="B813" s="43"/>
      <c r="C813" s="43"/>
      <c r="L813" s="89"/>
    </row>
    <row r="814">
      <c r="A814" s="89"/>
      <c r="B814" s="43"/>
      <c r="C814" s="43"/>
      <c r="L814" s="89"/>
    </row>
    <row r="815">
      <c r="A815" s="89"/>
      <c r="B815" s="43"/>
      <c r="C815" s="43"/>
      <c r="L815" s="89"/>
    </row>
    <row r="816">
      <c r="A816" s="89"/>
      <c r="B816" s="43"/>
      <c r="C816" s="43"/>
      <c r="L816" s="89"/>
    </row>
    <row r="817">
      <c r="A817" s="89"/>
      <c r="B817" s="43"/>
      <c r="C817" s="43"/>
      <c r="L817" s="89"/>
    </row>
    <row r="818">
      <c r="A818" s="89"/>
      <c r="B818" s="43"/>
      <c r="C818" s="43"/>
      <c r="L818" s="89"/>
    </row>
    <row r="819">
      <c r="A819" s="89"/>
      <c r="B819" s="43"/>
      <c r="C819" s="43"/>
      <c r="L819" s="89"/>
    </row>
    <row r="820">
      <c r="A820" s="89"/>
      <c r="B820" s="43"/>
      <c r="C820" s="43"/>
      <c r="L820" s="89"/>
    </row>
    <row r="821">
      <c r="A821" s="89"/>
      <c r="B821" s="43"/>
      <c r="C821" s="43"/>
      <c r="L821" s="89"/>
    </row>
    <row r="822">
      <c r="A822" s="89"/>
      <c r="B822" s="43"/>
      <c r="C822" s="43"/>
      <c r="L822" s="89"/>
    </row>
    <row r="823">
      <c r="A823" s="89"/>
      <c r="B823" s="43"/>
      <c r="C823" s="43"/>
      <c r="L823" s="89"/>
    </row>
    <row r="824">
      <c r="A824" s="89"/>
      <c r="B824" s="43"/>
      <c r="C824" s="43"/>
      <c r="L824" s="89"/>
    </row>
    <row r="825">
      <c r="A825" s="89"/>
      <c r="B825" s="43"/>
      <c r="C825" s="43"/>
      <c r="L825" s="89"/>
    </row>
    <row r="826">
      <c r="A826" s="89"/>
      <c r="B826" s="43"/>
      <c r="C826" s="43"/>
      <c r="L826" s="89"/>
    </row>
    <row r="827">
      <c r="A827" s="89"/>
      <c r="B827" s="43"/>
      <c r="C827" s="43"/>
      <c r="L827" s="89"/>
    </row>
    <row r="828">
      <c r="A828" s="89"/>
      <c r="B828" s="43"/>
      <c r="C828" s="43"/>
      <c r="L828" s="89"/>
    </row>
    <row r="829">
      <c r="A829" s="89"/>
      <c r="B829" s="43"/>
      <c r="C829" s="43"/>
      <c r="L829" s="89"/>
    </row>
    <row r="830">
      <c r="A830" s="89"/>
      <c r="B830" s="43"/>
      <c r="C830" s="43"/>
      <c r="L830" s="89"/>
    </row>
    <row r="831">
      <c r="A831" s="89"/>
      <c r="B831" s="43"/>
      <c r="C831" s="43"/>
      <c r="L831" s="89"/>
    </row>
    <row r="832">
      <c r="A832" s="89"/>
      <c r="B832" s="43"/>
      <c r="C832" s="43"/>
      <c r="L832" s="89"/>
    </row>
    <row r="833">
      <c r="A833" s="89"/>
      <c r="B833" s="43"/>
      <c r="C833" s="43"/>
      <c r="L833" s="89"/>
    </row>
    <row r="834">
      <c r="A834" s="89"/>
      <c r="B834" s="43"/>
      <c r="C834" s="43"/>
      <c r="L834" s="89"/>
    </row>
    <row r="835">
      <c r="A835" s="89"/>
      <c r="B835" s="43"/>
      <c r="C835" s="43"/>
      <c r="L835" s="89"/>
    </row>
    <row r="836">
      <c r="A836" s="89"/>
      <c r="B836" s="43"/>
      <c r="C836" s="43"/>
      <c r="L836" s="89"/>
    </row>
    <row r="837">
      <c r="A837" s="89"/>
      <c r="B837" s="43"/>
      <c r="C837" s="43"/>
      <c r="L837" s="89"/>
    </row>
    <row r="838">
      <c r="A838" s="89"/>
      <c r="B838" s="43"/>
      <c r="C838" s="43"/>
      <c r="L838" s="89"/>
    </row>
    <row r="839">
      <c r="A839" s="89"/>
      <c r="B839" s="43"/>
      <c r="C839" s="43"/>
      <c r="L839" s="89"/>
    </row>
    <row r="840">
      <c r="A840" s="89"/>
      <c r="B840" s="43"/>
      <c r="C840" s="43"/>
      <c r="L840" s="89"/>
    </row>
    <row r="841">
      <c r="A841" s="89"/>
      <c r="B841" s="43"/>
      <c r="C841" s="43"/>
      <c r="L841" s="89"/>
    </row>
    <row r="842">
      <c r="A842" s="89"/>
      <c r="B842" s="43"/>
      <c r="C842" s="43"/>
      <c r="L842" s="89"/>
    </row>
    <row r="843">
      <c r="A843" s="89"/>
      <c r="B843" s="43"/>
      <c r="C843" s="43"/>
      <c r="L843" s="89"/>
    </row>
    <row r="844">
      <c r="A844" s="89"/>
      <c r="B844" s="43"/>
      <c r="C844" s="43"/>
      <c r="L844" s="89"/>
    </row>
    <row r="845">
      <c r="A845" s="89"/>
      <c r="B845" s="43"/>
      <c r="C845" s="43"/>
      <c r="L845" s="89"/>
    </row>
    <row r="846">
      <c r="A846" s="89"/>
      <c r="B846" s="43"/>
      <c r="C846" s="43"/>
      <c r="L846" s="89"/>
    </row>
    <row r="847">
      <c r="A847" s="89"/>
      <c r="B847" s="43"/>
      <c r="C847" s="43"/>
      <c r="L847" s="89"/>
    </row>
    <row r="848">
      <c r="A848" s="89"/>
      <c r="B848" s="43"/>
      <c r="C848" s="43"/>
      <c r="L848" s="89"/>
    </row>
    <row r="849">
      <c r="A849" s="89"/>
      <c r="B849" s="43"/>
      <c r="C849" s="43"/>
      <c r="L849" s="89"/>
    </row>
    <row r="850">
      <c r="A850" s="89"/>
      <c r="B850" s="43"/>
      <c r="C850" s="43"/>
      <c r="L850" s="89"/>
    </row>
    <row r="851">
      <c r="A851" s="89"/>
      <c r="B851" s="43"/>
      <c r="C851" s="43"/>
      <c r="L851" s="89"/>
    </row>
    <row r="852">
      <c r="A852" s="89"/>
      <c r="B852" s="43"/>
      <c r="C852" s="43"/>
      <c r="L852" s="89"/>
    </row>
    <row r="853">
      <c r="A853" s="89"/>
      <c r="B853" s="43"/>
      <c r="C853" s="43"/>
      <c r="L853" s="89"/>
    </row>
    <row r="854">
      <c r="A854" s="89"/>
      <c r="B854" s="43"/>
      <c r="C854" s="43"/>
      <c r="L854" s="89"/>
    </row>
    <row r="855">
      <c r="A855" s="89"/>
      <c r="B855" s="43"/>
      <c r="C855" s="43"/>
      <c r="L855" s="89"/>
    </row>
    <row r="856">
      <c r="A856" s="89"/>
      <c r="B856" s="43"/>
      <c r="C856" s="43"/>
      <c r="L856" s="89"/>
    </row>
    <row r="857">
      <c r="A857" s="89"/>
      <c r="B857" s="43"/>
      <c r="C857" s="43"/>
      <c r="L857" s="89"/>
    </row>
    <row r="858">
      <c r="A858" s="89"/>
      <c r="B858" s="43"/>
      <c r="C858" s="43"/>
      <c r="L858" s="89"/>
    </row>
    <row r="859">
      <c r="A859" s="89"/>
      <c r="B859" s="43"/>
      <c r="C859" s="43"/>
      <c r="L859" s="89"/>
    </row>
    <row r="860">
      <c r="A860" s="89"/>
      <c r="B860" s="43"/>
      <c r="C860" s="43"/>
      <c r="L860" s="89"/>
    </row>
    <row r="861">
      <c r="A861" s="89"/>
      <c r="B861" s="43"/>
      <c r="C861" s="43"/>
      <c r="L861" s="89"/>
    </row>
    <row r="862">
      <c r="A862" s="89"/>
      <c r="B862" s="43"/>
      <c r="C862" s="43"/>
      <c r="L862" s="89"/>
    </row>
    <row r="863">
      <c r="A863" s="89"/>
      <c r="B863" s="43"/>
      <c r="C863" s="43"/>
      <c r="L863" s="89"/>
    </row>
    <row r="864">
      <c r="A864" s="89"/>
      <c r="B864" s="43"/>
      <c r="C864" s="43"/>
      <c r="L864" s="89"/>
    </row>
    <row r="865">
      <c r="A865" s="89"/>
      <c r="B865" s="43"/>
      <c r="C865" s="43"/>
      <c r="L865" s="89"/>
    </row>
    <row r="866">
      <c r="A866" s="89"/>
      <c r="B866" s="43"/>
      <c r="C866" s="43"/>
      <c r="L866" s="89"/>
    </row>
    <row r="867">
      <c r="A867" s="89"/>
      <c r="B867" s="43"/>
      <c r="C867" s="43"/>
      <c r="L867" s="89"/>
    </row>
    <row r="868">
      <c r="A868" s="89"/>
      <c r="B868" s="43"/>
      <c r="C868" s="43"/>
      <c r="L868" s="89"/>
    </row>
    <row r="869">
      <c r="A869" s="89"/>
      <c r="B869" s="43"/>
      <c r="C869" s="43"/>
      <c r="L869" s="89"/>
    </row>
    <row r="870">
      <c r="A870" s="89"/>
      <c r="B870" s="43"/>
      <c r="C870" s="43"/>
      <c r="L870" s="89"/>
    </row>
    <row r="871">
      <c r="A871" s="89"/>
      <c r="B871" s="43"/>
      <c r="C871" s="43"/>
      <c r="L871" s="89"/>
    </row>
    <row r="872">
      <c r="A872" s="89"/>
      <c r="B872" s="43"/>
      <c r="C872" s="43"/>
      <c r="L872" s="89"/>
    </row>
    <row r="873">
      <c r="A873" s="89"/>
      <c r="B873" s="43"/>
      <c r="C873" s="43"/>
      <c r="L873" s="89"/>
    </row>
    <row r="874">
      <c r="A874" s="89"/>
      <c r="B874" s="43"/>
      <c r="C874" s="43"/>
      <c r="L874" s="89"/>
    </row>
    <row r="875">
      <c r="A875" s="89"/>
      <c r="B875" s="43"/>
      <c r="C875" s="43"/>
      <c r="L875" s="89"/>
    </row>
    <row r="876">
      <c r="A876" s="89"/>
      <c r="B876" s="43"/>
      <c r="C876" s="43"/>
      <c r="L876" s="89"/>
    </row>
    <row r="877">
      <c r="A877" s="89"/>
      <c r="B877" s="43"/>
      <c r="C877" s="43"/>
      <c r="L877" s="89"/>
    </row>
    <row r="878">
      <c r="A878" s="89"/>
      <c r="B878" s="43"/>
      <c r="C878" s="43"/>
      <c r="L878" s="89"/>
    </row>
    <row r="879">
      <c r="A879" s="89"/>
      <c r="B879" s="43"/>
      <c r="C879" s="43"/>
      <c r="L879" s="89"/>
    </row>
    <row r="880">
      <c r="A880" s="89"/>
      <c r="B880" s="43"/>
      <c r="C880" s="43"/>
      <c r="L880" s="89"/>
    </row>
    <row r="881">
      <c r="A881" s="89"/>
      <c r="B881" s="43"/>
      <c r="C881" s="43"/>
      <c r="L881" s="89"/>
    </row>
    <row r="882">
      <c r="A882" s="89"/>
      <c r="B882" s="43"/>
      <c r="C882" s="43"/>
      <c r="L882" s="89"/>
    </row>
    <row r="883">
      <c r="A883" s="89"/>
      <c r="B883" s="43"/>
      <c r="C883" s="43"/>
      <c r="L883" s="89"/>
    </row>
    <row r="884">
      <c r="A884" s="89"/>
      <c r="B884" s="43"/>
      <c r="C884" s="43"/>
      <c r="L884" s="89"/>
    </row>
    <row r="885">
      <c r="A885" s="89"/>
      <c r="B885" s="43"/>
      <c r="C885" s="43"/>
      <c r="L885" s="89"/>
    </row>
    <row r="886">
      <c r="A886" s="89"/>
      <c r="B886" s="43"/>
      <c r="C886" s="43"/>
      <c r="L886" s="89"/>
    </row>
    <row r="887">
      <c r="A887" s="89"/>
      <c r="B887" s="43"/>
      <c r="C887" s="43"/>
      <c r="L887" s="89"/>
    </row>
    <row r="888">
      <c r="A888" s="89"/>
      <c r="B888" s="43"/>
      <c r="C888" s="43"/>
      <c r="L888" s="89"/>
    </row>
    <row r="889">
      <c r="A889" s="89"/>
      <c r="B889" s="43"/>
      <c r="C889" s="43"/>
      <c r="L889" s="89"/>
    </row>
    <row r="890">
      <c r="A890" s="89"/>
      <c r="B890" s="43"/>
      <c r="C890" s="43"/>
      <c r="L890" s="89"/>
    </row>
    <row r="891">
      <c r="A891" s="89"/>
      <c r="B891" s="43"/>
      <c r="C891" s="43"/>
      <c r="L891" s="89"/>
    </row>
    <row r="892">
      <c r="A892" s="89"/>
      <c r="B892" s="43"/>
      <c r="C892" s="43"/>
      <c r="L892" s="89"/>
    </row>
    <row r="893">
      <c r="A893" s="89"/>
      <c r="B893" s="43"/>
      <c r="C893" s="43"/>
      <c r="L893" s="89"/>
    </row>
    <row r="894">
      <c r="A894" s="89"/>
      <c r="B894" s="43"/>
      <c r="C894" s="43"/>
      <c r="L894" s="89"/>
    </row>
    <row r="895">
      <c r="A895" s="89"/>
      <c r="B895" s="43"/>
      <c r="C895" s="43"/>
      <c r="L895" s="89"/>
    </row>
    <row r="896">
      <c r="A896" s="89"/>
      <c r="B896" s="43"/>
      <c r="C896" s="43"/>
      <c r="L896" s="89"/>
    </row>
    <row r="897">
      <c r="A897" s="89"/>
      <c r="B897" s="43"/>
      <c r="C897" s="43"/>
      <c r="L897" s="89"/>
    </row>
    <row r="898">
      <c r="A898" s="89"/>
      <c r="B898" s="43"/>
      <c r="C898" s="43"/>
      <c r="L898" s="89"/>
    </row>
    <row r="899">
      <c r="A899" s="89"/>
      <c r="B899" s="43"/>
      <c r="C899" s="43"/>
      <c r="L899" s="89"/>
    </row>
    <row r="900">
      <c r="A900" s="89"/>
      <c r="B900" s="43"/>
      <c r="C900" s="43"/>
      <c r="L900" s="89"/>
    </row>
    <row r="901">
      <c r="A901" s="89"/>
      <c r="B901" s="43"/>
      <c r="C901" s="43"/>
      <c r="L901" s="89"/>
    </row>
    <row r="902">
      <c r="A902" s="89"/>
      <c r="B902" s="43"/>
      <c r="C902" s="43"/>
      <c r="L902" s="89"/>
    </row>
    <row r="903">
      <c r="A903" s="89"/>
      <c r="B903" s="43"/>
      <c r="C903" s="43"/>
      <c r="L903" s="89"/>
    </row>
    <row r="904">
      <c r="A904" s="89"/>
      <c r="B904" s="43"/>
      <c r="C904" s="43"/>
      <c r="L904" s="89"/>
    </row>
    <row r="905">
      <c r="A905" s="89"/>
      <c r="B905" s="43"/>
      <c r="C905" s="43"/>
      <c r="L905" s="89"/>
    </row>
    <row r="906">
      <c r="A906" s="89"/>
      <c r="B906" s="43"/>
      <c r="C906" s="43"/>
      <c r="L906" s="89"/>
    </row>
    <row r="907">
      <c r="A907" s="89"/>
      <c r="B907" s="43"/>
      <c r="C907" s="43"/>
      <c r="L907" s="89"/>
    </row>
    <row r="908">
      <c r="A908" s="89"/>
      <c r="B908" s="43"/>
      <c r="C908" s="43"/>
      <c r="L908" s="89"/>
    </row>
    <row r="909">
      <c r="A909" s="89"/>
      <c r="B909" s="43"/>
      <c r="C909" s="43"/>
      <c r="L909" s="89"/>
    </row>
    <row r="910">
      <c r="A910" s="89"/>
      <c r="B910" s="43"/>
      <c r="C910" s="43"/>
      <c r="L910" s="89"/>
    </row>
    <row r="911">
      <c r="A911" s="89"/>
      <c r="B911" s="43"/>
      <c r="C911" s="43"/>
      <c r="L911" s="89"/>
    </row>
    <row r="912">
      <c r="A912" s="89"/>
      <c r="B912" s="43"/>
      <c r="C912" s="43"/>
      <c r="L912" s="89"/>
    </row>
    <row r="913">
      <c r="A913" s="89"/>
      <c r="B913" s="43"/>
      <c r="C913" s="43"/>
      <c r="L913" s="89"/>
    </row>
    <row r="914">
      <c r="A914" s="89"/>
      <c r="B914" s="43"/>
      <c r="C914" s="43"/>
      <c r="L914" s="89"/>
    </row>
    <row r="915">
      <c r="A915" s="89"/>
      <c r="B915" s="43"/>
      <c r="C915" s="43"/>
      <c r="L915" s="89"/>
    </row>
    <row r="916">
      <c r="A916" s="89"/>
      <c r="B916" s="43"/>
      <c r="C916" s="43"/>
      <c r="L916" s="89"/>
    </row>
    <row r="917">
      <c r="A917" s="89"/>
      <c r="B917" s="43"/>
      <c r="C917" s="43"/>
      <c r="L917" s="89"/>
    </row>
    <row r="918">
      <c r="A918" s="89"/>
      <c r="B918" s="43"/>
      <c r="C918" s="43"/>
      <c r="L918" s="89"/>
    </row>
    <row r="919">
      <c r="A919" s="89"/>
      <c r="B919" s="43"/>
      <c r="C919" s="43"/>
      <c r="L919" s="89"/>
    </row>
    <row r="920">
      <c r="A920" s="89"/>
      <c r="B920" s="43"/>
      <c r="C920" s="43"/>
      <c r="L920" s="89"/>
    </row>
    <row r="921">
      <c r="A921" s="89"/>
      <c r="B921" s="43"/>
      <c r="C921" s="43"/>
      <c r="L921" s="89"/>
    </row>
    <row r="922">
      <c r="A922" s="89"/>
      <c r="B922" s="43"/>
      <c r="C922" s="43"/>
      <c r="L922" s="89"/>
    </row>
    <row r="923">
      <c r="A923" s="89"/>
      <c r="B923" s="43"/>
      <c r="C923" s="43"/>
      <c r="L923" s="89"/>
    </row>
    <row r="924">
      <c r="A924" s="89"/>
      <c r="B924" s="43"/>
      <c r="C924" s="43"/>
      <c r="L924" s="89"/>
    </row>
    <row r="925">
      <c r="A925" s="89"/>
      <c r="B925" s="43"/>
      <c r="C925" s="43"/>
      <c r="L925" s="89"/>
    </row>
    <row r="926">
      <c r="A926" s="89"/>
      <c r="B926" s="43"/>
      <c r="C926" s="43"/>
      <c r="L926" s="89"/>
    </row>
    <row r="927">
      <c r="A927" s="89"/>
      <c r="B927" s="43"/>
      <c r="C927" s="43"/>
      <c r="L927" s="89"/>
    </row>
    <row r="928">
      <c r="A928" s="89"/>
      <c r="B928" s="43"/>
      <c r="C928" s="43"/>
      <c r="L928" s="89"/>
    </row>
    <row r="929">
      <c r="A929" s="89"/>
      <c r="B929" s="43"/>
      <c r="C929" s="43"/>
      <c r="L929" s="89"/>
    </row>
    <row r="930">
      <c r="A930" s="89"/>
      <c r="B930" s="43"/>
      <c r="C930" s="43"/>
      <c r="L930" s="89"/>
    </row>
    <row r="931">
      <c r="A931" s="89"/>
      <c r="B931" s="43"/>
      <c r="C931" s="43"/>
      <c r="L931" s="89"/>
    </row>
    <row r="932">
      <c r="A932" s="89"/>
      <c r="B932" s="43"/>
      <c r="C932" s="43"/>
      <c r="L932" s="89"/>
    </row>
    <row r="933">
      <c r="A933" s="89"/>
      <c r="B933" s="43"/>
      <c r="C933" s="43"/>
      <c r="L933" s="89"/>
    </row>
    <row r="934">
      <c r="A934" s="89"/>
      <c r="B934" s="43"/>
      <c r="C934" s="43"/>
      <c r="L934" s="89"/>
    </row>
    <row r="935">
      <c r="A935" s="89"/>
      <c r="B935" s="43"/>
      <c r="C935" s="43"/>
      <c r="L935" s="89"/>
    </row>
    <row r="936">
      <c r="A936" s="89"/>
      <c r="B936" s="43"/>
      <c r="C936" s="43"/>
      <c r="L936" s="89"/>
    </row>
    <row r="937">
      <c r="A937" s="89"/>
      <c r="B937" s="43"/>
      <c r="C937" s="43"/>
      <c r="L937" s="89"/>
    </row>
    <row r="938">
      <c r="A938" s="89"/>
      <c r="B938" s="43"/>
      <c r="C938" s="43"/>
      <c r="L938" s="89"/>
    </row>
    <row r="939">
      <c r="A939" s="89"/>
      <c r="B939" s="43"/>
      <c r="C939" s="43"/>
      <c r="L939" s="89"/>
    </row>
    <row r="940">
      <c r="A940" s="89"/>
      <c r="B940" s="43"/>
      <c r="C940" s="43"/>
      <c r="L940" s="89"/>
    </row>
    <row r="941">
      <c r="A941" s="89"/>
      <c r="B941" s="43"/>
      <c r="C941" s="43"/>
      <c r="L941" s="89"/>
    </row>
    <row r="942">
      <c r="A942" s="89"/>
      <c r="B942" s="43"/>
      <c r="C942" s="43"/>
      <c r="L942" s="89"/>
    </row>
    <row r="943">
      <c r="A943" s="89"/>
      <c r="B943" s="43"/>
      <c r="C943" s="43"/>
      <c r="L943" s="89"/>
    </row>
    <row r="944">
      <c r="A944" s="89"/>
      <c r="B944" s="43"/>
      <c r="C944" s="43"/>
      <c r="L944" s="89"/>
    </row>
    <row r="945">
      <c r="A945" s="89"/>
      <c r="B945" s="43"/>
      <c r="C945" s="43"/>
      <c r="L945" s="89"/>
    </row>
    <row r="946">
      <c r="A946" s="89"/>
      <c r="B946" s="43"/>
      <c r="C946" s="43"/>
      <c r="L946" s="89"/>
    </row>
    <row r="947">
      <c r="A947" s="89"/>
      <c r="B947" s="43"/>
      <c r="C947" s="43"/>
      <c r="L947" s="89"/>
    </row>
    <row r="948">
      <c r="A948" s="89"/>
      <c r="B948" s="43"/>
      <c r="C948" s="43"/>
      <c r="L948" s="89"/>
    </row>
    <row r="949">
      <c r="A949" s="89"/>
      <c r="B949" s="43"/>
      <c r="C949" s="43"/>
      <c r="L949" s="89"/>
    </row>
    <row r="950">
      <c r="A950" s="89"/>
      <c r="B950" s="43"/>
      <c r="C950" s="43"/>
      <c r="L950" s="89"/>
    </row>
    <row r="951">
      <c r="A951" s="89"/>
      <c r="B951" s="43"/>
      <c r="C951" s="43"/>
      <c r="L951" s="89"/>
    </row>
    <row r="952">
      <c r="A952" s="89"/>
      <c r="B952" s="43"/>
      <c r="C952" s="43"/>
      <c r="L952" s="89"/>
    </row>
    <row r="953">
      <c r="A953" s="89"/>
      <c r="B953" s="43"/>
      <c r="C953" s="43"/>
      <c r="L953" s="89"/>
    </row>
    <row r="954">
      <c r="A954" s="89"/>
      <c r="B954" s="43"/>
      <c r="C954" s="43"/>
      <c r="L954" s="89"/>
    </row>
    <row r="955">
      <c r="A955" s="89"/>
      <c r="B955" s="43"/>
      <c r="C955" s="43"/>
      <c r="L955" s="89"/>
    </row>
    <row r="956">
      <c r="A956" s="89"/>
      <c r="B956" s="43"/>
      <c r="C956" s="43"/>
      <c r="L956" s="89"/>
    </row>
    <row r="957">
      <c r="A957" s="89"/>
      <c r="B957" s="43"/>
      <c r="C957" s="43"/>
      <c r="L957" s="89"/>
    </row>
    <row r="958">
      <c r="A958" s="89"/>
      <c r="B958" s="43"/>
      <c r="C958" s="43"/>
      <c r="L958" s="89"/>
    </row>
    <row r="959">
      <c r="A959" s="89"/>
      <c r="B959" s="43"/>
      <c r="C959" s="43"/>
      <c r="L959" s="89"/>
    </row>
    <row r="960">
      <c r="A960" s="89"/>
      <c r="B960" s="43"/>
      <c r="C960" s="43"/>
      <c r="L960" s="89"/>
    </row>
    <row r="961">
      <c r="A961" s="89"/>
      <c r="B961" s="43"/>
      <c r="C961" s="43"/>
      <c r="L961" s="89"/>
    </row>
    <row r="962">
      <c r="A962" s="89"/>
      <c r="B962" s="43"/>
      <c r="C962" s="43"/>
      <c r="L962" s="89"/>
    </row>
    <row r="963">
      <c r="A963" s="89"/>
      <c r="B963" s="43"/>
      <c r="C963" s="43"/>
      <c r="L963" s="89"/>
    </row>
    <row r="964">
      <c r="A964" s="89"/>
      <c r="B964" s="43"/>
      <c r="C964" s="43"/>
      <c r="L964" s="89"/>
    </row>
    <row r="965">
      <c r="A965" s="89"/>
      <c r="B965" s="43"/>
      <c r="C965" s="43"/>
      <c r="L965" s="89"/>
    </row>
    <row r="966">
      <c r="A966" s="89"/>
      <c r="B966" s="43"/>
      <c r="C966" s="43"/>
      <c r="L966" s="89"/>
    </row>
    <row r="967">
      <c r="A967" s="89"/>
      <c r="B967" s="43"/>
      <c r="C967" s="43"/>
      <c r="L967" s="89"/>
    </row>
    <row r="968">
      <c r="A968" s="89"/>
      <c r="B968" s="43"/>
      <c r="C968" s="43"/>
      <c r="L968" s="89"/>
    </row>
    <row r="969">
      <c r="A969" s="89"/>
      <c r="B969" s="43"/>
      <c r="C969" s="43"/>
      <c r="L969" s="89"/>
    </row>
    <row r="970">
      <c r="A970" s="89"/>
      <c r="B970" s="43"/>
      <c r="C970" s="43"/>
      <c r="L970" s="89"/>
    </row>
    <row r="971">
      <c r="A971" s="89"/>
      <c r="B971" s="43"/>
      <c r="C971" s="43"/>
      <c r="L971" s="89"/>
    </row>
    <row r="972">
      <c r="A972" s="89"/>
      <c r="B972" s="43"/>
      <c r="C972" s="43"/>
      <c r="L972" s="89"/>
    </row>
    <row r="973">
      <c r="A973" s="89"/>
      <c r="B973" s="43"/>
      <c r="C973" s="43"/>
      <c r="L973" s="89"/>
    </row>
    <row r="974">
      <c r="A974" s="89"/>
      <c r="B974" s="43"/>
      <c r="C974" s="43"/>
      <c r="L974" s="89"/>
    </row>
    <row r="975">
      <c r="A975" s="89"/>
      <c r="B975" s="43"/>
      <c r="C975" s="43"/>
      <c r="L975" s="89"/>
    </row>
    <row r="976">
      <c r="A976" s="89"/>
      <c r="B976" s="43"/>
      <c r="C976" s="43"/>
      <c r="L976" s="89"/>
    </row>
    <row r="977">
      <c r="A977" s="89"/>
      <c r="B977" s="43"/>
      <c r="C977" s="43"/>
      <c r="L977" s="89"/>
    </row>
    <row r="978">
      <c r="A978" s="89"/>
      <c r="B978" s="43"/>
      <c r="C978" s="43"/>
      <c r="L978" s="89"/>
    </row>
    <row r="979">
      <c r="A979" s="89"/>
      <c r="B979" s="43"/>
      <c r="C979" s="43"/>
      <c r="L979" s="89"/>
    </row>
    <row r="980">
      <c r="A980" s="89"/>
      <c r="B980" s="43"/>
      <c r="C980" s="43"/>
      <c r="L980" s="89"/>
    </row>
    <row r="981">
      <c r="A981" s="89"/>
      <c r="B981" s="43"/>
      <c r="C981" s="43"/>
      <c r="L981" s="89"/>
    </row>
    <row r="982">
      <c r="A982" s="89"/>
      <c r="B982" s="43"/>
      <c r="C982" s="43"/>
      <c r="L982" s="89"/>
    </row>
    <row r="983">
      <c r="A983" s="89"/>
      <c r="B983" s="43"/>
      <c r="C983" s="43"/>
      <c r="L983" s="89"/>
    </row>
    <row r="984">
      <c r="A984" s="89"/>
      <c r="B984" s="43"/>
      <c r="C984" s="43"/>
      <c r="L984" s="89"/>
    </row>
    <row r="985">
      <c r="A985" s="89"/>
      <c r="B985" s="43"/>
      <c r="C985" s="43"/>
      <c r="L985" s="89"/>
    </row>
    <row r="986">
      <c r="A986" s="89"/>
      <c r="B986" s="43"/>
      <c r="C986" s="43"/>
      <c r="L986" s="89"/>
    </row>
    <row r="987">
      <c r="A987" s="89"/>
      <c r="B987" s="43"/>
      <c r="C987" s="43"/>
      <c r="L987" s="89"/>
    </row>
    <row r="988">
      <c r="A988" s="89"/>
      <c r="B988" s="43"/>
      <c r="C988" s="43"/>
      <c r="L988" s="89"/>
    </row>
    <row r="989">
      <c r="A989" s="89"/>
      <c r="B989" s="43"/>
      <c r="C989" s="43"/>
      <c r="L989" s="89"/>
    </row>
    <row r="990">
      <c r="A990" s="89"/>
      <c r="B990" s="43"/>
      <c r="C990" s="43"/>
      <c r="L990" s="89"/>
    </row>
    <row r="991">
      <c r="A991" s="89"/>
      <c r="B991" s="43"/>
      <c r="C991" s="43"/>
      <c r="L991" s="89"/>
    </row>
    <row r="992">
      <c r="A992" s="89"/>
      <c r="B992" s="43"/>
      <c r="C992" s="43"/>
      <c r="L992" s="89"/>
    </row>
    <row r="993">
      <c r="A993" s="89"/>
      <c r="B993" s="43"/>
      <c r="C993" s="43"/>
      <c r="L993" s="89"/>
    </row>
    <row r="994">
      <c r="A994" s="89"/>
      <c r="B994" s="43"/>
      <c r="C994" s="43"/>
      <c r="L994" s="89"/>
    </row>
    <row r="995">
      <c r="A995" s="89"/>
      <c r="B995" s="43"/>
      <c r="C995" s="43"/>
      <c r="L995" s="89"/>
    </row>
    <row r="996">
      <c r="A996" s="89"/>
      <c r="B996" s="43"/>
      <c r="C996" s="43"/>
      <c r="L996" s="89"/>
    </row>
    <row r="997">
      <c r="A997" s="89"/>
      <c r="B997" s="43"/>
      <c r="C997" s="43"/>
      <c r="L997" s="89"/>
    </row>
    <row r="998">
      <c r="A998" s="89"/>
      <c r="B998" s="43"/>
      <c r="C998" s="43"/>
      <c r="L998" s="89"/>
    </row>
    <row r="999">
      <c r="A999" s="89"/>
      <c r="B999" s="43"/>
      <c r="C999" s="43"/>
      <c r="L999" s="89"/>
    </row>
    <row r="1000">
      <c r="A1000" s="89"/>
      <c r="B1000" s="43"/>
      <c r="C1000" s="43"/>
      <c r="L1000" s="89"/>
    </row>
  </sheetData>
  <mergeCells count="7">
    <mergeCell ref="C1:N1"/>
    <mergeCell ref="A47:F47"/>
    <mergeCell ref="K47:L47"/>
    <mergeCell ref="C48:F48"/>
    <mergeCell ref="K48:L48"/>
    <mergeCell ref="A49:F49"/>
    <mergeCell ref="K49:L49"/>
  </mergeCells>
  <printOptions gridLines="1" horizontalCentered="1"/>
  <pageMargins bottom="0.75" footer="0.0" header="0.0" left="0.25" right="0.25" top="0.75"/>
  <pageSetup fitToWidth="0" paperSize="9" cellComments="atEnd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